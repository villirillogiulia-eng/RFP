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Grid Campaign\Somalia\"/>
    </mc:Choice>
  </mc:AlternateContent>
  <xr:revisionPtr revIDLastSave="0" documentId="8_{828150B1-5747-4FFB-A4B9-D3E05BB45500}" xr6:coauthVersionLast="47" xr6:coauthVersionMax="47" xr10:uidLastSave="{00000000-0000-0000-0000-000000000000}"/>
  <bookViews>
    <workbookView xWindow="-93" yWindow="-93" windowWidth="25786" windowHeight="13866" xr2:uid="{178597D7-E64C-4A23-9D22-7D64C3962771}"/>
  </bookViews>
  <sheets>
    <sheet name="District" sheetId="1" r:id="rId1"/>
    <sheet name="Region" sheetId="2" r:id="rId2"/>
    <sheet name="National" sheetId="3" r:id="rId3"/>
    <sheet name="District_Ext_age_Group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4" i="4" l="1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G63" i="3"/>
  <c r="E63" i="3"/>
  <c r="D63" i="3"/>
  <c r="B63" i="3"/>
  <c r="G62" i="3"/>
  <c r="E62" i="3"/>
  <c r="D62" i="3"/>
  <c r="B62" i="3"/>
  <c r="G61" i="3"/>
  <c r="E61" i="3"/>
  <c r="D61" i="3"/>
  <c r="B61" i="3"/>
  <c r="G60" i="3"/>
  <c r="E60" i="3"/>
  <c r="D60" i="3"/>
  <c r="B60" i="3"/>
  <c r="G59" i="3"/>
  <c r="E59" i="3"/>
  <c r="D59" i="3"/>
  <c r="B59" i="3"/>
  <c r="G58" i="3"/>
  <c r="E58" i="3"/>
  <c r="D58" i="3"/>
  <c r="B58" i="3"/>
  <c r="G57" i="3"/>
  <c r="E57" i="3"/>
  <c r="D57" i="3"/>
  <c r="B57" i="3"/>
  <c r="G56" i="3"/>
  <c r="E56" i="3"/>
  <c r="D56" i="3"/>
  <c r="B56" i="3"/>
  <c r="G55" i="3"/>
  <c r="E55" i="3"/>
  <c r="D55" i="3"/>
  <c r="B55" i="3"/>
  <c r="G54" i="3"/>
  <c r="E54" i="3"/>
  <c r="D54" i="3"/>
  <c r="B54" i="3"/>
  <c r="G53" i="3"/>
  <c r="E53" i="3"/>
  <c r="D53" i="3"/>
  <c r="B53" i="3"/>
  <c r="G52" i="3"/>
  <c r="E52" i="3"/>
  <c r="D52" i="3"/>
  <c r="B52" i="3"/>
  <c r="G51" i="3"/>
  <c r="E51" i="3"/>
  <c r="D51" i="3"/>
  <c r="B51" i="3"/>
  <c r="G50" i="3"/>
  <c r="E50" i="3"/>
  <c r="D50" i="3"/>
  <c r="B50" i="3"/>
  <c r="G49" i="3"/>
  <c r="E49" i="3"/>
  <c r="D49" i="3"/>
  <c r="B49" i="3"/>
  <c r="G48" i="3"/>
  <c r="E48" i="3"/>
  <c r="D48" i="3"/>
  <c r="B48" i="3"/>
  <c r="G47" i="3"/>
  <c r="E47" i="3"/>
  <c r="D47" i="3"/>
  <c r="B47" i="3"/>
  <c r="G46" i="3"/>
  <c r="E46" i="3"/>
  <c r="D46" i="3"/>
  <c r="B46" i="3"/>
  <c r="I45" i="3"/>
  <c r="G45" i="3"/>
  <c r="E45" i="3"/>
  <c r="D45" i="3"/>
  <c r="B45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C35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C24" i="3"/>
  <c r="O12" i="3"/>
  <c r="O20" i="3" s="1"/>
  <c r="N12" i="3"/>
  <c r="N20" i="3" s="1"/>
  <c r="M12" i="3"/>
  <c r="L12" i="3"/>
  <c r="K12" i="3"/>
  <c r="J12" i="3"/>
  <c r="I12" i="3"/>
  <c r="H12" i="3"/>
  <c r="G12" i="3"/>
  <c r="F12" i="3"/>
  <c r="E12" i="3"/>
  <c r="D12" i="3"/>
  <c r="F4" i="3"/>
  <c r="F8" i="3" s="1"/>
  <c r="E4" i="3"/>
  <c r="D4" i="3"/>
  <c r="N21" i="2"/>
  <c r="M21" i="2"/>
  <c r="K21" i="2"/>
  <c r="J21" i="2"/>
  <c r="H21" i="2"/>
  <c r="G21" i="2"/>
  <c r="I21" i="2" s="1"/>
  <c r="E21" i="2"/>
  <c r="D21" i="2"/>
  <c r="N20" i="2"/>
  <c r="M20" i="2"/>
  <c r="K20" i="2"/>
  <c r="J20" i="2"/>
  <c r="H20" i="2"/>
  <c r="G20" i="2"/>
  <c r="E20" i="2"/>
  <c r="D20" i="2"/>
  <c r="N19" i="2"/>
  <c r="M19" i="2"/>
  <c r="O19" i="2" s="1"/>
  <c r="K19" i="2"/>
  <c r="J19" i="2"/>
  <c r="L19" i="2" s="1"/>
  <c r="H19" i="2"/>
  <c r="G19" i="2"/>
  <c r="E19" i="2"/>
  <c r="D19" i="2"/>
  <c r="F19" i="2" s="1"/>
  <c r="N18" i="2"/>
  <c r="M18" i="2"/>
  <c r="K18" i="2"/>
  <c r="J18" i="2"/>
  <c r="H18" i="2"/>
  <c r="G18" i="2"/>
  <c r="E18" i="2"/>
  <c r="Q18" i="2" s="1"/>
  <c r="D18" i="2"/>
  <c r="P18" i="2" s="1"/>
  <c r="N17" i="2"/>
  <c r="M17" i="2"/>
  <c r="K17" i="2"/>
  <c r="J17" i="2"/>
  <c r="L17" i="2" s="1"/>
  <c r="H17" i="2"/>
  <c r="G17" i="2"/>
  <c r="I17" i="2" s="1"/>
  <c r="E17" i="2"/>
  <c r="D17" i="2"/>
  <c r="N16" i="2"/>
  <c r="M16" i="2"/>
  <c r="K16" i="2"/>
  <c r="J16" i="2"/>
  <c r="L16" i="2" s="1"/>
  <c r="H16" i="2"/>
  <c r="G16" i="2"/>
  <c r="E16" i="2"/>
  <c r="D16" i="2"/>
  <c r="F16" i="2" s="1"/>
  <c r="N15" i="2"/>
  <c r="M15" i="2"/>
  <c r="O15" i="2" s="1"/>
  <c r="K15" i="2"/>
  <c r="J15" i="2"/>
  <c r="H15" i="2"/>
  <c r="G15" i="2"/>
  <c r="E15" i="2"/>
  <c r="D15" i="2"/>
  <c r="N14" i="2"/>
  <c r="M14" i="2"/>
  <c r="K14" i="2"/>
  <c r="J14" i="2"/>
  <c r="H14" i="2"/>
  <c r="G14" i="2"/>
  <c r="I14" i="2" s="1"/>
  <c r="E14" i="2"/>
  <c r="D14" i="2"/>
  <c r="F14" i="2" s="1"/>
  <c r="N13" i="2"/>
  <c r="M13" i="2"/>
  <c r="K13" i="2"/>
  <c r="J13" i="2"/>
  <c r="L13" i="2" s="1"/>
  <c r="H13" i="2"/>
  <c r="G13" i="2"/>
  <c r="I13" i="2" s="1"/>
  <c r="E13" i="2"/>
  <c r="D13" i="2"/>
  <c r="N12" i="2"/>
  <c r="M12" i="2"/>
  <c r="K12" i="2"/>
  <c r="J12" i="2"/>
  <c r="H12" i="2"/>
  <c r="G12" i="2"/>
  <c r="E12" i="2"/>
  <c r="D12" i="2"/>
  <c r="F12" i="2" s="1"/>
  <c r="N11" i="2"/>
  <c r="M11" i="2"/>
  <c r="O11" i="2" s="1"/>
  <c r="K11" i="2"/>
  <c r="J11" i="2"/>
  <c r="H11" i="2"/>
  <c r="G11" i="2"/>
  <c r="I11" i="2" s="1"/>
  <c r="E11" i="2"/>
  <c r="D11" i="2"/>
  <c r="N10" i="2"/>
  <c r="M10" i="2"/>
  <c r="K10" i="2"/>
  <c r="J10" i="2"/>
  <c r="H10" i="2"/>
  <c r="G10" i="2"/>
  <c r="E10" i="2"/>
  <c r="D10" i="2"/>
  <c r="N9" i="2"/>
  <c r="M9" i="2"/>
  <c r="K9" i="2"/>
  <c r="J9" i="2"/>
  <c r="L9" i="2" s="1"/>
  <c r="H9" i="2"/>
  <c r="G9" i="2"/>
  <c r="E9" i="2"/>
  <c r="D9" i="2"/>
  <c r="N8" i="2"/>
  <c r="M8" i="2"/>
  <c r="K8" i="2"/>
  <c r="J8" i="2"/>
  <c r="L8" i="2" s="1"/>
  <c r="H8" i="2"/>
  <c r="G8" i="2"/>
  <c r="E8" i="2"/>
  <c r="D8" i="2"/>
  <c r="N7" i="2"/>
  <c r="M7" i="2"/>
  <c r="O7" i="2" s="1"/>
  <c r="K7" i="2"/>
  <c r="J7" i="2"/>
  <c r="H7" i="2"/>
  <c r="G7" i="2"/>
  <c r="I7" i="2" s="1"/>
  <c r="E7" i="2"/>
  <c r="D7" i="2"/>
  <c r="N6" i="2"/>
  <c r="M6" i="2"/>
  <c r="K6" i="2"/>
  <c r="J6" i="2"/>
  <c r="H6" i="2"/>
  <c r="G6" i="2"/>
  <c r="I6" i="2" s="1"/>
  <c r="E6" i="2"/>
  <c r="D6" i="2"/>
  <c r="N5" i="2"/>
  <c r="M5" i="2"/>
  <c r="K5" i="2"/>
  <c r="J5" i="2"/>
  <c r="L5" i="2" s="1"/>
  <c r="H5" i="2"/>
  <c r="G5" i="2"/>
  <c r="I5" i="2" s="1"/>
  <c r="E5" i="2"/>
  <c r="D5" i="2"/>
  <c r="N4" i="2"/>
  <c r="N22" i="2" s="1"/>
  <c r="M4" i="2"/>
  <c r="M22" i="2" s="1"/>
  <c r="K4" i="2"/>
  <c r="K22" i="2" s="1"/>
  <c r="J4" i="2"/>
  <c r="J22" i="2" s="1"/>
  <c r="H4" i="2"/>
  <c r="H22" i="2" s="1"/>
  <c r="G4" i="2"/>
  <c r="E4" i="2"/>
  <c r="E22" i="2" s="1"/>
  <c r="D4" i="2"/>
  <c r="F4" i="2" s="1"/>
  <c r="B4" i="2"/>
  <c r="P94" i="1"/>
  <c r="O94" i="1"/>
  <c r="M94" i="1"/>
  <c r="L94" i="1"/>
  <c r="J94" i="1"/>
  <c r="I94" i="1"/>
  <c r="G94" i="1"/>
  <c r="F94" i="1"/>
  <c r="E94" i="1"/>
  <c r="D94" i="1"/>
  <c r="C94" i="1"/>
  <c r="B94" i="1"/>
  <c r="P93" i="1"/>
  <c r="O93" i="1"/>
  <c r="M93" i="1"/>
  <c r="L93" i="1"/>
  <c r="J93" i="1"/>
  <c r="K93" i="1" s="1"/>
  <c r="I93" i="1"/>
  <c r="G93" i="1"/>
  <c r="F93" i="1"/>
  <c r="E93" i="1"/>
  <c r="D93" i="1"/>
  <c r="C93" i="1"/>
  <c r="B93" i="1"/>
  <c r="P92" i="1"/>
  <c r="O92" i="1"/>
  <c r="M92" i="1"/>
  <c r="L92" i="1"/>
  <c r="J92" i="1"/>
  <c r="I92" i="1"/>
  <c r="G92" i="1"/>
  <c r="F92" i="1"/>
  <c r="E92" i="1"/>
  <c r="D92" i="1"/>
  <c r="C92" i="1"/>
  <c r="B92" i="1"/>
  <c r="P91" i="1"/>
  <c r="O91" i="1"/>
  <c r="M91" i="1"/>
  <c r="L91" i="1"/>
  <c r="J91" i="1"/>
  <c r="I91" i="1"/>
  <c r="G91" i="1"/>
  <c r="F91" i="1"/>
  <c r="E91" i="1"/>
  <c r="D91" i="1"/>
  <c r="C91" i="1"/>
  <c r="B91" i="1"/>
  <c r="P90" i="1"/>
  <c r="O90" i="1"/>
  <c r="M90" i="1"/>
  <c r="L90" i="1"/>
  <c r="J90" i="1"/>
  <c r="I90" i="1"/>
  <c r="G90" i="1"/>
  <c r="F90" i="1"/>
  <c r="E90" i="1"/>
  <c r="D90" i="1"/>
  <c r="C90" i="1"/>
  <c r="B90" i="1"/>
  <c r="P89" i="1"/>
  <c r="O89" i="1"/>
  <c r="M89" i="1"/>
  <c r="L89" i="1"/>
  <c r="J89" i="1"/>
  <c r="I89" i="1"/>
  <c r="G89" i="1"/>
  <c r="F89" i="1"/>
  <c r="E89" i="1"/>
  <c r="D89" i="1"/>
  <c r="C89" i="1"/>
  <c r="B89" i="1"/>
  <c r="P88" i="1"/>
  <c r="O88" i="1"/>
  <c r="M88" i="1"/>
  <c r="L88" i="1"/>
  <c r="J88" i="1"/>
  <c r="I88" i="1"/>
  <c r="G88" i="1"/>
  <c r="F88" i="1"/>
  <c r="E88" i="1"/>
  <c r="D88" i="1"/>
  <c r="C88" i="1"/>
  <c r="B88" i="1"/>
  <c r="P87" i="1"/>
  <c r="O87" i="1"/>
  <c r="M87" i="1"/>
  <c r="L87" i="1"/>
  <c r="J87" i="1"/>
  <c r="I87" i="1"/>
  <c r="G87" i="1"/>
  <c r="F87" i="1"/>
  <c r="E87" i="1"/>
  <c r="D87" i="1"/>
  <c r="C87" i="1"/>
  <c r="B87" i="1"/>
  <c r="P86" i="1"/>
  <c r="O86" i="1"/>
  <c r="M86" i="1"/>
  <c r="L86" i="1"/>
  <c r="J86" i="1"/>
  <c r="I86" i="1"/>
  <c r="G86" i="1"/>
  <c r="F86" i="1"/>
  <c r="E86" i="1"/>
  <c r="D86" i="1"/>
  <c r="C86" i="1"/>
  <c r="B86" i="1"/>
  <c r="P85" i="1"/>
  <c r="O85" i="1"/>
  <c r="M85" i="1"/>
  <c r="L85" i="1"/>
  <c r="J85" i="1"/>
  <c r="I85" i="1"/>
  <c r="G85" i="1"/>
  <c r="F85" i="1"/>
  <c r="E85" i="1"/>
  <c r="D85" i="1"/>
  <c r="C85" i="1"/>
  <c r="B85" i="1"/>
  <c r="P84" i="1"/>
  <c r="O84" i="1"/>
  <c r="M84" i="1"/>
  <c r="N84" i="1" s="1"/>
  <c r="L84" i="1"/>
  <c r="J84" i="1"/>
  <c r="I84" i="1"/>
  <c r="G84" i="1"/>
  <c r="F84" i="1"/>
  <c r="E84" i="1"/>
  <c r="D84" i="1"/>
  <c r="C84" i="1"/>
  <c r="B84" i="1"/>
  <c r="P83" i="1"/>
  <c r="O83" i="1"/>
  <c r="M83" i="1"/>
  <c r="L83" i="1"/>
  <c r="J83" i="1"/>
  <c r="I83" i="1"/>
  <c r="G83" i="1"/>
  <c r="F83" i="1"/>
  <c r="E83" i="1"/>
  <c r="D83" i="1"/>
  <c r="C83" i="1"/>
  <c r="B83" i="1"/>
  <c r="P82" i="1"/>
  <c r="O82" i="1"/>
  <c r="M82" i="1"/>
  <c r="L82" i="1"/>
  <c r="J82" i="1"/>
  <c r="I82" i="1"/>
  <c r="G82" i="1"/>
  <c r="F82" i="1"/>
  <c r="E82" i="1"/>
  <c r="D82" i="1"/>
  <c r="C82" i="1"/>
  <c r="B82" i="1"/>
  <c r="P81" i="1"/>
  <c r="O81" i="1"/>
  <c r="M81" i="1"/>
  <c r="L81" i="1"/>
  <c r="J81" i="1"/>
  <c r="I81" i="1"/>
  <c r="G81" i="1"/>
  <c r="F81" i="1"/>
  <c r="E81" i="1"/>
  <c r="D81" i="1"/>
  <c r="C81" i="1"/>
  <c r="B81" i="1"/>
  <c r="P80" i="1"/>
  <c r="O80" i="1"/>
  <c r="M80" i="1"/>
  <c r="N80" i="1" s="1"/>
  <c r="L80" i="1"/>
  <c r="J80" i="1"/>
  <c r="I80" i="1"/>
  <c r="G80" i="1"/>
  <c r="F80" i="1"/>
  <c r="E80" i="1"/>
  <c r="D80" i="1"/>
  <c r="C80" i="1"/>
  <c r="B80" i="1"/>
  <c r="P79" i="1"/>
  <c r="O79" i="1"/>
  <c r="M79" i="1"/>
  <c r="L79" i="1"/>
  <c r="J79" i="1"/>
  <c r="I79" i="1"/>
  <c r="G79" i="1"/>
  <c r="S79" i="1" s="1"/>
  <c r="F79" i="1"/>
  <c r="E79" i="1"/>
  <c r="D79" i="1"/>
  <c r="C79" i="1"/>
  <c r="B79" i="1"/>
  <c r="P78" i="1"/>
  <c r="O78" i="1"/>
  <c r="M78" i="1"/>
  <c r="L78" i="1"/>
  <c r="J78" i="1"/>
  <c r="I78" i="1"/>
  <c r="G78" i="1"/>
  <c r="F78" i="1"/>
  <c r="E78" i="1"/>
  <c r="D78" i="1"/>
  <c r="C78" i="1"/>
  <c r="B78" i="1"/>
  <c r="P77" i="1"/>
  <c r="O77" i="1"/>
  <c r="M77" i="1"/>
  <c r="L77" i="1"/>
  <c r="J77" i="1"/>
  <c r="I77" i="1"/>
  <c r="G77" i="1"/>
  <c r="F77" i="1"/>
  <c r="E77" i="1"/>
  <c r="D77" i="1"/>
  <c r="C77" i="1"/>
  <c r="B77" i="1"/>
  <c r="P76" i="1"/>
  <c r="O76" i="1"/>
  <c r="M76" i="1"/>
  <c r="L76" i="1"/>
  <c r="J76" i="1"/>
  <c r="I76" i="1"/>
  <c r="G76" i="1"/>
  <c r="F76" i="1"/>
  <c r="E76" i="1"/>
  <c r="D76" i="1"/>
  <c r="C76" i="1"/>
  <c r="B76" i="1"/>
  <c r="P75" i="1"/>
  <c r="O75" i="1"/>
  <c r="Q75" i="1" s="1"/>
  <c r="M75" i="1"/>
  <c r="L75" i="1"/>
  <c r="J75" i="1"/>
  <c r="I75" i="1"/>
  <c r="G75" i="1"/>
  <c r="F75" i="1"/>
  <c r="R75" i="1" s="1"/>
  <c r="E75" i="1"/>
  <c r="D75" i="1"/>
  <c r="C75" i="1"/>
  <c r="B75" i="1"/>
  <c r="P74" i="1"/>
  <c r="O74" i="1"/>
  <c r="M74" i="1"/>
  <c r="L74" i="1"/>
  <c r="J74" i="1"/>
  <c r="I74" i="1"/>
  <c r="G74" i="1"/>
  <c r="F74" i="1"/>
  <c r="E74" i="1"/>
  <c r="D74" i="1"/>
  <c r="C74" i="1"/>
  <c r="B74" i="1"/>
  <c r="P73" i="1"/>
  <c r="O73" i="1"/>
  <c r="M73" i="1"/>
  <c r="L73" i="1"/>
  <c r="J73" i="1"/>
  <c r="I73" i="1"/>
  <c r="G73" i="1"/>
  <c r="F73" i="1"/>
  <c r="E73" i="1"/>
  <c r="D73" i="1"/>
  <c r="C73" i="1"/>
  <c r="B73" i="1"/>
  <c r="P72" i="1"/>
  <c r="O72" i="1"/>
  <c r="M72" i="1"/>
  <c r="L72" i="1"/>
  <c r="J72" i="1"/>
  <c r="I72" i="1"/>
  <c r="G72" i="1"/>
  <c r="F72" i="1"/>
  <c r="E72" i="1"/>
  <c r="D72" i="1"/>
  <c r="C72" i="1"/>
  <c r="B72" i="1"/>
  <c r="P71" i="1"/>
  <c r="O71" i="1"/>
  <c r="M71" i="1"/>
  <c r="L71" i="1"/>
  <c r="J71" i="1"/>
  <c r="I71" i="1"/>
  <c r="G71" i="1"/>
  <c r="F71" i="1"/>
  <c r="E71" i="1"/>
  <c r="D71" i="1"/>
  <c r="C71" i="1"/>
  <c r="B71" i="1"/>
  <c r="P70" i="1"/>
  <c r="O70" i="1"/>
  <c r="M70" i="1"/>
  <c r="L70" i="1"/>
  <c r="J70" i="1"/>
  <c r="I70" i="1"/>
  <c r="G70" i="1"/>
  <c r="F70" i="1"/>
  <c r="R70" i="1" s="1"/>
  <c r="E70" i="1"/>
  <c r="D70" i="1"/>
  <c r="C70" i="1"/>
  <c r="B70" i="1"/>
  <c r="P69" i="1"/>
  <c r="O69" i="1"/>
  <c r="M69" i="1"/>
  <c r="L69" i="1"/>
  <c r="J69" i="1"/>
  <c r="I69" i="1"/>
  <c r="G69" i="1"/>
  <c r="F69" i="1"/>
  <c r="E69" i="1"/>
  <c r="D69" i="1"/>
  <c r="C69" i="1"/>
  <c r="B69" i="1"/>
  <c r="P68" i="1"/>
  <c r="O68" i="1"/>
  <c r="M68" i="1"/>
  <c r="L68" i="1"/>
  <c r="J68" i="1"/>
  <c r="I68" i="1"/>
  <c r="G68" i="1"/>
  <c r="F68" i="1"/>
  <c r="E68" i="1"/>
  <c r="D68" i="1"/>
  <c r="C68" i="1"/>
  <c r="B68" i="1"/>
  <c r="P67" i="1"/>
  <c r="O67" i="1"/>
  <c r="M67" i="1"/>
  <c r="L67" i="1"/>
  <c r="J67" i="1"/>
  <c r="I67" i="1"/>
  <c r="G67" i="1"/>
  <c r="F67" i="1"/>
  <c r="R67" i="1" s="1"/>
  <c r="E67" i="1"/>
  <c r="D67" i="1"/>
  <c r="C67" i="1"/>
  <c r="B67" i="1"/>
  <c r="P66" i="1"/>
  <c r="O66" i="1"/>
  <c r="M66" i="1"/>
  <c r="L66" i="1"/>
  <c r="J66" i="1"/>
  <c r="I66" i="1"/>
  <c r="G66" i="1"/>
  <c r="F66" i="1"/>
  <c r="E66" i="1"/>
  <c r="D66" i="1"/>
  <c r="C66" i="1"/>
  <c r="B66" i="1"/>
  <c r="P65" i="1"/>
  <c r="O65" i="1"/>
  <c r="M65" i="1"/>
  <c r="L65" i="1"/>
  <c r="J65" i="1"/>
  <c r="I65" i="1"/>
  <c r="G65" i="1"/>
  <c r="F65" i="1"/>
  <c r="E65" i="1"/>
  <c r="D65" i="1"/>
  <c r="C65" i="1"/>
  <c r="B65" i="1"/>
  <c r="P64" i="1"/>
  <c r="O64" i="1"/>
  <c r="M64" i="1"/>
  <c r="L64" i="1"/>
  <c r="J64" i="1"/>
  <c r="I64" i="1"/>
  <c r="R64" i="1" s="1"/>
  <c r="G64" i="1"/>
  <c r="F64" i="1"/>
  <c r="E64" i="1"/>
  <c r="D64" i="1"/>
  <c r="C64" i="1"/>
  <c r="B64" i="1"/>
  <c r="P63" i="1"/>
  <c r="O63" i="1"/>
  <c r="M63" i="1"/>
  <c r="L63" i="1"/>
  <c r="J63" i="1"/>
  <c r="I63" i="1"/>
  <c r="G63" i="1"/>
  <c r="F63" i="1"/>
  <c r="E63" i="1"/>
  <c r="D63" i="1"/>
  <c r="C63" i="1"/>
  <c r="B63" i="1"/>
  <c r="P62" i="1"/>
  <c r="O62" i="1"/>
  <c r="M62" i="1"/>
  <c r="L62" i="1"/>
  <c r="J62" i="1"/>
  <c r="I62" i="1"/>
  <c r="G62" i="1"/>
  <c r="F62" i="1"/>
  <c r="E62" i="1"/>
  <c r="D62" i="1"/>
  <c r="C62" i="1"/>
  <c r="B62" i="1"/>
  <c r="P61" i="1"/>
  <c r="O61" i="1"/>
  <c r="M61" i="1"/>
  <c r="L61" i="1"/>
  <c r="J61" i="1"/>
  <c r="I61" i="1"/>
  <c r="G61" i="1"/>
  <c r="F61" i="1"/>
  <c r="E61" i="1"/>
  <c r="D61" i="1"/>
  <c r="C61" i="1"/>
  <c r="B61" i="1"/>
  <c r="P60" i="1"/>
  <c r="O60" i="1"/>
  <c r="M60" i="1"/>
  <c r="L60" i="1"/>
  <c r="J60" i="1"/>
  <c r="I60" i="1"/>
  <c r="G60" i="1"/>
  <c r="F60" i="1"/>
  <c r="E60" i="1"/>
  <c r="D60" i="1"/>
  <c r="C60" i="1"/>
  <c r="B60" i="1"/>
  <c r="P59" i="1"/>
  <c r="O59" i="1"/>
  <c r="M59" i="1"/>
  <c r="L59" i="1"/>
  <c r="J59" i="1"/>
  <c r="I59" i="1"/>
  <c r="G59" i="1"/>
  <c r="F59" i="1"/>
  <c r="E59" i="1"/>
  <c r="D59" i="1"/>
  <c r="C59" i="1"/>
  <c r="B59" i="1"/>
  <c r="P58" i="1"/>
  <c r="O58" i="1"/>
  <c r="M58" i="1"/>
  <c r="L58" i="1"/>
  <c r="J58" i="1"/>
  <c r="I58" i="1"/>
  <c r="G58" i="1"/>
  <c r="F58" i="1"/>
  <c r="E58" i="1"/>
  <c r="D58" i="1"/>
  <c r="C58" i="1"/>
  <c r="B58" i="1"/>
  <c r="P57" i="1"/>
  <c r="O57" i="1"/>
  <c r="M57" i="1"/>
  <c r="L57" i="1"/>
  <c r="J57" i="1"/>
  <c r="I57" i="1"/>
  <c r="G57" i="1"/>
  <c r="F57" i="1"/>
  <c r="E57" i="1"/>
  <c r="D57" i="1"/>
  <c r="C57" i="1"/>
  <c r="B57" i="1"/>
  <c r="P56" i="1"/>
  <c r="O56" i="1"/>
  <c r="M56" i="1"/>
  <c r="L56" i="1"/>
  <c r="J56" i="1"/>
  <c r="I56" i="1"/>
  <c r="G56" i="1"/>
  <c r="F56" i="1"/>
  <c r="E56" i="1"/>
  <c r="D56" i="1"/>
  <c r="C56" i="1"/>
  <c r="B56" i="1"/>
  <c r="P55" i="1"/>
  <c r="O55" i="1"/>
  <c r="M55" i="1"/>
  <c r="L55" i="1"/>
  <c r="J55" i="1"/>
  <c r="I55" i="1"/>
  <c r="G55" i="1"/>
  <c r="F55" i="1"/>
  <c r="E55" i="1"/>
  <c r="D55" i="1"/>
  <c r="C55" i="1"/>
  <c r="B55" i="1"/>
  <c r="P54" i="1"/>
  <c r="O54" i="1"/>
  <c r="M54" i="1"/>
  <c r="L54" i="1"/>
  <c r="J54" i="1"/>
  <c r="I54" i="1"/>
  <c r="G54" i="1"/>
  <c r="F54" i="1"/>
  <c r="E54" i="1"/>
  <c r="D54" i="1"/>
  <c r="C54" i="1"/>
  <c r="B54" i="1"/>
  <c r="P53" i="1"/>
  <c r="S53" i="1" s="1"/>
  <c r="O53" i="1"/>
  <c r="M53" i="1"/>
  <c r="L53" i="1"/>
  <c r="J53" i="1"/>
  <c r="I53" i="1"/>
  <c r="G53" i="1"/>
  <c r="F53" i="1"/>
  <c r="E53" i="1"/>
  <c r="D53" i="1"/>
  <c r="C53" i="1"/>
  <c r="B53" i="1"/>
  <c r="P52" i="1"/>
  <c r="O52" i="1"/>
  <c r="M52" i="1"/>
  <c r="L52" i="1"/>
  <c r="J52" i="1"/>
  <c r="I52" i="1"/>
  <c r="G52" i="1"/>
  <c r="F52" i="1"/>
  <c r="E52" i="1"/>
  <c r="D52" i="1"/>
  <c r="C52" i="1"/>
  <c r="B52" i="1"/>
  <c r="P51" i="1"/>
  <c r="O51" i="1"/>
  <c r="M51" i="1"/>
  <c r="L51" i="1"/>
  <c r="J51" i="1"/>
  <c r="I51" i="1"/>
  <c r="G51" i="1"/>
  <c r="F51" i="1"/>
  <c r="E51" i="1"/>
  <c r="D51" i="1"/>
  <c r="C51" i="1"/>
  <c r="B51" i="1"/>
  <c r="P50" i="1"/>
  <c r="O50" i="1"/>
  <c r="M50" i="1"/>
  <c r="L50" i="1"/>
  <c r="J50" i="1"/>
  <c r="I50" i="1"/>
  <c r="G50" i="1"/>
  <c r="F50" i="1"/>
  <c r="E50" i="1"/>
  <c r="D50" i="1"/>
  <c r="C50" i="1"/>
  <c r="B50" i="1"/>
  <c r="P49" i="1"/>
  <c r="O49" i="1"/>
  <c r="M49" i="1"/>
  <c r="L49" i="1"/>
  <c r="J49" i="1"/>
  <c r="I49" i="1"/>
  <c r="G49" i="1"/>
  <c r="F49" i="1"/>
  <c r="E49" i="1"/>
  <c r="D49" i="1"/>
  <c r="C49" i="1"/>
  <c r="B49" i="1"/>
  <c r="P48" i="1"/>
  <c r="O48" i="1"/>
  <c r="M48" i="1"/>
  <c r="L48" i="1"/>
  <c r="J48" i="1"/>
  <c r="I48" i="1"/>
  <c r="G48" i="1"/>
  <c r="F48" i="1"/>
  <c r="E48" i="1"/>
  <c r="D48" i="1"/>
  <c r="C48" i="1"/>
  <c r="B48" i="1"/>
  <c r="P47" i="1"/>
  <c r="O47" i="1"/>
  <c r="M47" i="1"/>
  <c r="L47" i="1"/>
  <c r="J47" i="1"/>
  <c r="I47" i="1"/>
  <c r="G47" i="1"/>
  <c r="F47" i="1"/>
  <c r="E47" i="1"/>
  <c r="D47" i="1"/>
  <c r="C47" i="1"/>
  <c r="B47" i="1"/>
  <c r="P46" i="1"/>
  <c r="O46" i="1"/>
  <c r="M46" i="1"/>
  <c r="L46" i="1"/>
  <c r="J46" i="1"/>
  <c r="I46" i="1"/>
  <c r="G46" i="1"/>
  <c r="F46" i="1"/>
  <c r="E46" i="1"/>
  <c r="D46" i="1"/>
  <c r="C46" i="1"/>
  <c r="B46" i="1"/>
  <c r="P45" i="1"/>
  <c r="O45" i="1"/>
  <c r="M45" i="1"/>
  <c r="L45" i="1"/>
  <c r="J45" i="1"/>
  <c r="I45" i="1"/>
  <c r="G45" i="1"/>
  <c r="F45" i="1"/>
  <c r="E45" i="1"/>
  <c r="D45" i="1"/>
  <c r="C45" i="1"/>
  <c r="B45" i="1"/>
  <c r="P44" i="1"/>
  <c r="O44" i="1"/>
  <c r="M44" i="1"/>
  <c r="L44" i="1"/>
  <c r="J44" i="1"/>
  <c r="I44" i="1"/>
  <c r="G44" i="1"/>
  <c r="F44" i="1"/>
  <c r="E44" i="1"/>
  <c r="D44" i="1"/>
  <c r="C44" i="1"/>
  <c r="B44" i="1"/>
  <c r="P43" i="1"/>
  <c r="O43" i="1"/>
  <c r="M43" i="1"/>
  <c r="L43" i="1"/>
  <c r="J43" i="1"/>
  <c r="I43" i="1"/>
  <c r="G43" i="1"/>
  <c r="F43" i="1"/>
  <c r="E43" i="1"/>
  <c r="D43" i="1"/>
  <c r="C43" i="1"/>
  <c r="B43" i="1"/>
  <c r="P42" i="1"/>
  <c r="O42" i="1"/>
  <c r="M42" i="1"/>
  <c r="L42" i="1"/>
  <c r="J42" i="1"/>
  <c r="I42" i="1"/>
  <c r="G42" i="1"/>
  <c r="F42" i="1"/>
  <c r="R42" i="1" s="1"/>
  <c r="E42" i="1"/>
  <c r="D42" i="1"/>
  <c r="C42" i="1"/>
  <c r="B42" i="1"/>
  <c r="P41" i="1"/>
  <c r="O41" i="1"/>
  <c r="M41" i="1"/>
  <c r="L41" i="1"/>
  <c r="J41" i="1"/>
  <c r="I41" i="1"/>
  <c r="G41" i="1"/>
  <c r="F41" i="1"/>
  <c r="E41" i="1"/>
  <c r="D41" i="1"/>
  <c r="C41" i="1"/>
  <c r="B41" i="1"/>
  <c r="P40" i="1"/>
  <c r="O40" i="1"/>
  <c r="M40" i="1"/>
  <c r="L40" i="1"/>
  <c r="J40" i="1"/>
  <c r="I40" i="1"/>
  <c r="G40" i="1"/>
  <c r="F40" i="1"/>
  <c r="E40" i="1"/>
  <c r="D40" i="1"/>
  <c r="C40" i="1"/>
  <c r="B40" i="1"/>
  <c r="P39" i="1"/>
  <c r="O39" i="1"/>
  <c r="M39" i="1"/>
  <c r="L39" i="1"/>
  <c r="J39" i="1"/>
  <c r="I39" i="1"/>
  <c r="G39" i="1"/>
  <c r="F39" i="1"/>
  <c r="E39" i="1"/>
  <c r="D39" i="1"/>
  <c r="C39" i="1"/>
  <c r="B39" i="1"/>
  <c r="P38" i="1"/>
  <c r="O38" i="1"/>
  <c r="M38" i="1"/>
  <c r="L38" i="1"/>
  <c r="J38" i="1"/>
  <c r="I38" i="1"/>
  <c r="G38" i="1"/>
  <c r="S38" i="1" s="1"/>
  <c r="F38" i="1"/>
  <c r="R38" i="1" s="1"/>
  <c r="E38" i="1"/>
  <c r="D38" i="1"/>
  <c r="C38" i="1"/>
  <c r="B38" i="1"/>
  <c r="P37" i="1"/>
  <c r="O37" i="1"/>
  <c r="M37" i="1"/>
  <c r="L37" i="1"/>
  <c r="J37" i="1"/>
  <c r="I37" i="1"/>
  <c r="G37" i="1"/>
  <c r="F37" i="1"/>
  <c r="E37" i="1"/>
  <c r="D37" i="1"/>
  <c r="C37" i="1"/>
  <c r="B37" i="1"/>
  <c r="P36" i="1"/>
  <c r="O36" i="1"/>
  <c r="M36" i="1"/>
  <c r="L36" i="1"/>
  <c r="J36" i="1"/>
  <c r="I36" i="1"/>
  <c r="G36" i="1"/>
  <c r="F36" i="1"/>
  <c r="E36" i="1"/>
  <c r="D36" i="1"/>
  <c r="C36" i="1"/>
  <c r="B36" i="1"/>
  <c r="P35" i="1"/>
  <c r="O35" i="1"/>
  <c r="M35" i="1"/>
  <c r="L35" i="1"/>
  <c r="J35" i="1"/>
  <c r="I35" i="1"/>
  <c r="G35" i="1"/>
  <c r="F35" i="1"/>
  <c r="E35" i="1"/>
  <c r="D35" i="1"/>
  <c r="C35" i="1"/>
  <c r="B35" i="1"/>
  <c r="P34" i="1"/>
  <c r="O34" i="1"/>
  <c r="M34" i="1"/>
  <c r="L34" i="1"/>
  <c r="J34" i="1"/>
  <c r="I34" i="1"/>
  <c r="G34" i="1"/>
  <c r="F34" i="1"/>
  <c r="E34" i="1"/>
  <c r="D34" i="1"/>
  <c r="C34" i="1"/>
  <c r="B34" i="1"/>
  <c r="P33" i="1"/>
  <c r="O33" i="1"/>
  <c r="M33" i="1"/>
  <c r="L33" i="1"/>
  <c r="J33" i="1"/>
  <c r="I33" i="1"/>
  <c r="G33" i="1"/>
  <c r="F33" i="1"/>
  <c r="R33" i="1" s="1"/>
  <c r="E33" i="1"/>
  <c r="D33" i="1"/>
  <c r="C33" i="1"/>
  <c r="B33" i="1"/>
  <c r="P32" i="1"/>
  <c r="O32" i="1"/>
  <c r="M32" i="1"/>
  <c r="L32" i="1"/>
  <c r="J32" i="1"/>
  <c r="I32" i="1"/>
  <c r="G32" i="1"/>
  <c r="F32" i="1"/>
  <c r="E32" i="1"/>
  <c r="D32" i="1"/>
  <c r="C32" i="1"/>
  <c r="B32" i="1"/>
  <c r="P31" i="1"/>
  <c r="O31" i="1"/>
  <c r="M31" i="1"/>
  <c r="L31" i="1"/>
  <c r="J31" i="1"/>
  <c r="I31" i="1"/>
  <c r="G31" i="1"/>
  <c r="F31" i="1"/>
  <c r="E31" i="1"/>
  <c r="D31" i="1"/>
  <c r="C31" i="1"/>
  <c r="B31" i="1"/>
  <c r="P30" i="1"/>
  <c r="O30" i="1"/>
  <c r="M30" i="1"/>
  <c r="L30" i="1"/>
  <c r="J30" i="1"/>
  <c r="I30" i="1"/>
  <c r="G30" i="1"/>
  <c r="S30" i="1" s="1"/>
  <c r="F30" i="1"/>
  <c r="R30" i="1" s="1"/>
  <c r="E30" i="1"/>
  <c r="D30" i="1"/>
  <c r="C30" i="1"/>
  <c r="B30" i="1"/>
  <c r="P29" i="1"/>
  <c r="O29" i="1"/>
  <c r="M29" i="1"/>
  <c r="L29" i="1"/>
  <c r="J29" i="1"/>
  <c r="I29" i="1"/>
  <c r="G29" i="1"/>
  <c r="F29" i="1"/>
  <c r="E29" i="1"/>
  <c r="D29" i="1"/>
  <c r="C29" i="1"/>
  <c r="B29" i="1"/>
  <c r="P28" i="1"/>
  <c r="O28" i="1"/>
  <c r="M28" i="1"/>
  <c r="L28" i="1"/>
  <c r="J28" i="1"/>
  <c r="I28" i="1"/>
  <c r="G28" i="1"/>
  <c r="F28" i="1"/>
  <c r="E28" i="1"/>
  <c r="D28" i="1"/>
  <c r="C28" i="1"/>
  <c r="B28" i="1"/>
  <c r="P27" i="1"/>
  <c r="O27" i="1"/>
  <c r="M27" i="1"/>
  <c r="L27" i="1"/>
  <c r="J27" i="1"/>
  <c r="I27" i="1"/>
  <c r="G27" i="1"/>
  <c r="F27" i="1"/>
  <c r="E27" i="1"/>
  <c r="D27" i="1"/>
  <c r="C27" i="1"/>
  <c r="B27" i="1"/>
  <c r="P26" i="1"/>
  <c r="O26" i="1"/>
  <c r="M26" i="1"/>
  <c r="L26" i="1"/>
  <c r="J26" i="1"/>
  <c r="I26" i="1"/>
  <c r="G26" i="1"/>
  <c r="F26" i="1"/>
  <c r="E26" i="1"/>
  <c r="D26" i="1"/>
  <c r="C26" i="1"/>
  <c r="B26" i="1"/>
  <c r="P25" i="1"/>
  <c r="O25" i="1"/>
  <c r="M25" i="1"/>
  <c r="L25" i="1"/>
  <c r="J25" i="1"/>
  <c r="I25" i="1"/>
  <c r="G25" i="1"/>
  <c r="F25" i="1"/>
  <c r="E25" i="1"/>
  <c r="D25" i="1"/>
  <c r="C25" i="1"/>
  <c r="B25" i="1"/>
  <c r="P24" i="1"/>
  <c r="O24" i="1"/>
  <c r="M24" i="1"/>
  <c r="L24" i="1"/>
  <c r="J24" i="1"/>
  <c r="I24" i="1"/>
  <c r="G24" i="1"/>
  <c r="F24" i="1"/>
  <c r="E24" i="1"/>
  <c r="D24" i="1"/>
  <c r="C24" i="1"/>
  <c r="B24" i="1"/>
  <c r="P23" i="1"/>
  <c r="O23" i="1"/>
  <c r="M23" i="1"/>
  <c r="L23" i="1"/>
  <c r="J23" i="1"/>
  <c r="I23" i="1"/>
  <c r="G23" i="1"/>
  <c r="F23" i="1"/>
  <c r="E23" i="1"/>
  <c r="D23" i="1"/>
  <c r="C23" i="1"/>
  <c r="B23" i="1"/>
  <c r="P22" i="1"/>
  <c r="O22" i="1"/>
  <c r="M22" i="1"/>
  <c r="L22" i="1"/>
  <c r="J22" i="1"/>
  <c r="I22" i="1"/>
  <c r="G22" i="1"/>
  <c r="F22" i="1"/>
  <c r="E22" i="1"/>
  <c r="D22" i="1"/>
  <c r="C22" i="1"/>
  <c r="B22" i="1"/>
  <c r="P21" i="1"/>
  <c r="O21" i="1"/>
  <c r="M21" i="1"/>
  <c r="L21" i="1"/>
  <c r="J21" i="1"/>
  <c r="I21" i="1"/>
  <c r="G21" i="1"/>
  <c r="F21" i="1"/>
  <c r="E21" i="1"/>
  <c r="D21" i="1"/>
  <c r="C21" i="1"/>
  <c r="B21" i="1"/>
  <c r="P20" i="1"/>
  <c r="O20" i="1"/>
  <c r="M20" i="1"/>
  <c r="L20" i="1"/>
  <c r="J20" i="1"/>
  <c r="I20" i="1"/>
  <c r="G20" i="1"/>
  <c r="F20" i="1"/>
  <c r="E20" i="1"/>
  <c r="D20" i="1"/>
  <c r="C20" i="1"/>
  <c r="B20" i="1"/>
  <c r="P19" i="1"/>
  <c r="O19" i="1"/>
  <c r="M19" i="1"/>
  <c r="L19" i="1"/>
  <c r="J19" i="1"/>
  <c r="I19" i="1"/>
  <c r="G19" i="1"/>
  <c r="F19" i="1"/>
  <c r="E19" i="1"/>
  <c r="D19" i="1"/>
  <c r="C19" i="1"/>
  <c r="B19" i="1"/>
  <c r="P18" i="1"/>
  <c r="O18" i="1"/>
  <c r="M18" i="1"/>
  <c r="L18" i="1"/>
  <c r="J18" i="1"/>
  <c r="I18" i="1"/>
  <c r="G18" i="1"/>
  <c r="F18" i="1"/>
  <c r="R18" i="1" s="1"/>
  <c r="E18" i="1"/>
  <c r="D18" i="1"/>
  <c r="C18" i="1"/>
  <c r="B18" i="1"/>
  <c r="P17" i="1"/>
  <c r="O17" i="1"/>
  <c r="M17" i="1"/>
  <c r="L17" i="1"/>
  <c r="J17" i="1"/>
  <c r="I17" i="1"/>
  <c r="G17" i="1"/>
  <c r="F17" i="1"/>
  <c r="E17" i="1"/>
  <c r="D17" i="1"/>
  <c r="C17" i="1"/>
  <c r="B17" i="1"/>
  <c r="P16" i="1"/>
  <c r="O16" i="1"/>
  <c r="M16" i="1"/>
  <c r="L16" i="1"/>
  <c r="J16" i="1"/>
  <c r="I16" i="1"/>
  <c r="G16" i="1"/>
  <c r="F16" i="1"/>
  <c r="E16" i="1"/>
  <c r="D16" i="1"/>
  <c r="C16" i="1"/>
  <c r="B16" i="1"/>
  <c r="P15" i="1"/>
  <c r="O15" i="1"/>
  <c r="M15" i="1"/>
  <c r="L15" i="1"/>
  <c r="J15" i="1"/>
  <c r="I15" i="1"/>
  <c r="G15" i="1"/>
  <c r="F15" i="1"/>
  <c r="E15" i="1"/>
  <c r="D15" i="1"/>
  <c r="C15" i="1"/>
  <c r="B15" i="1"/>
  <c r="P14" i="1"/>
  <c r="O14" i="1"/>
  <c r="M14" i="1"/>
  <c r="L14" i="1"/>
  <c r="J14" i="1"/>
  <c r="I14" i="1"/>
  <c r="G14" i="1"/>
  <c r="F14" i="1"/>
  <c r="E14" i="1"/>
  <c r="D14" i="1"/>
  <c r="C14" i="1"/>
  <c r="B14" i="1"/>
  <c r="P13" i="1"/>
  <c r="O13" i="1"/>
  <c r="M13" i="1"/>
  <c r="L13" i="1"/>
  <c r="J13" i="1"/>
  <c r="I13" i="1"/>
  <c r="G13" i="1"/>
  <c r="F13" i="1"/>
  <c r="E13" i="1"/>
  <c r="D13" i="1"/>
  <c r="C13" i="1"/>
  <c r="B13" i="1"/>
  <c r="P12" i="1"/>
  <c r="O12" i="1"/>
  <c r="M12" i="1"/>
  <c r="L12" i="1"/>
  <c r="J12" i="1"/>
  <c r="I12" i="1"/>
  <c r="G12" i="1"/>
  <c r="F12" i="1"/>
  <c r="E12" i="1"/>
  <c r="D12" i="1"/>
  <c r="C12" i="1"/>
  <c r="B12" i="1"/>
  <c r="P11" i="1"/>
  <c r="O11" i="1"/>
  <c r="M11" i="1"/>
  <c r="L11" i="1"/>
  <c r="J11" i="1"/>
  <c r="I11" i="1"/>
  <c r="G11" i="1"/>
  <c r="F11" i="1"/>
  <c r="E11" i="1"/>
  <c r="D11" i="1"/>
  <c r="C11" i="1"/>
  <c r="B11" i="1"/>
  <c r="P10" i="1"/>
  <c r="O10" i="1"/>
  <c r="M10" i="1"/>
  <c r="L10" i="1"/>
  <c r="J10" i="1"/>
  <c r="I10" i="1"/>
  <c r="G10" i="1"/>
  <c r="F10" i="1"/>
  <c r="E10" i="1"/>
  <c r="D10" i="1"/>
  <c r="C10" i="1"/>
  <c r="B10" i="1"/>
  <c r="P9" i="1"/>
  <c r="O9" i="1"/>
  <c r="M9" i="1"/>
  <c r="L9" i="1"/>
  <c r="J9" i="1"/>
  <c r="I9" i="1"/>
  <c r="G9" i="1"/>
  <c r="F9" i="1"/>
  <c r="E9" i="1"/>
  <c r="D9" i="1"/>
  <c r="C9" i="1"/>
  <c r="B9" i="1"/>
  <c r="P8" i="1"/>
  <c r="O8" i="1"/>
  <c r="M8" i="1"/>
  <c r="L8" i="1"/>
  <c r="J8" i="1"/>
  <c r="I8" i="1"/>
  <c r="G8" i="1"/>
  <c r="F8" i="1"/>
  <c r="E8" i="1"/>
  <c r="D8" i="1"/>
  <c r="C8" i="1"/>
  <c r="B8" i="1"/>
  <c r="P7" i="1"/>
  <c r="O7" i="1"/>
  <c r="M7" i="1"/>
  <c r="L7" i="1"/>
  <c r="J7" i="1"/>
  <c r="I7" i="1"/>
  <c r="G7" i="1"/>
  <c r="F7" i="1"/>
  <c r="E7" i="1"/>
  <c r="D7" i="1"/>
  <c r="C7" i="1"/>
  <c r="B7" i="1"/>
  <c r="P6" i="1"/>
  <c r="O6" i="1"/>
  <c r="M6" i="1"/>
  <c r="L6" i="1"/>
  <c r="J6" i="1"/>
  <c r="I6" i="1"/>
  <c r="G6" i="1"/>
  <c r="F6" i="1"/>
  <c r="E6" i="1"/>
  <c r="D6" i="1"/>
  <c r="C6" i="1"/>
  <c r="B6" i="1"/>
  <c r="P5" i="1"/>
  <c r="O5" i="1"/>
  <c r="M5" i="1"/>
  <c r="L5" i="1"/>
  <c r="J5" i="1"/>
  <c r="I5" i="1"/>
  <c r="G5" i="1"/>
  <c r="F5" i="1"/>
  <c r="E5" i="1"/>
  <c r="D5" i="1"/>
  <c r="C5" i="1"/>
  <c r="B5" i="1"/>
  <c r="P4" i="1"/>
  <c r="O4" i="1"/>
  <c r="M4" i="1"/>
  <c r="L4" i="1"/>
  <c r="J4" i="1"/>
  <c r="I4" i="1"/>
  <c r="G4" i="1"/>
  <c r="F4" i="1"/>
  <c r="E4" i="1"/>
  <c r="D4" i="1"/>
  <c r="C4" i="1"/>
  <c r="B4" i="1"/>
  <c r="R18" i="2" l="1"/>
  <c r="I49" i="3"/>
  <c r="N48" i="1"/>
  <c r="K51" i="1"/>
  <c r="K6" i="1"/>
  <c r="H57" i="1"/>
  <c r="Q30" i="1"/>
  <c r="K33" i="1"/>
  <c r="I52" i="3"/>
  <c r="N49" i="1"/>
  <c r="Q86" i="1"/>
  <c r="N12" i="1"/>
  <c r="N20" i="1"/>
  <c r="H39" i="1"/>
  <c r="N44" i="1"/>
  <c r="R79" i="1"/>
  <c r="T79" i="1" s="1"/>
  <c r="I12" i="2"/>
  <c r="I16" i="2"/>
  <c r="H22" i="1"/>
  <c r="N27" i="1"/>
  <c r="N59" i="1"/>
  <c r="H28" i="3"/>
  <c r="E28" i="3" s="1"/>
  <c r="AL15" i="4"/>
  <c r="H53" i="1"/>
  <c r="K37" i="1"/>
  <c r="R48" i="1"/>
  <c r="K69" i="1"/>
  <c r="K77" i="1"/>
  <c r="H50" i="1"/>
  <c r="K58" i="1"/>
  <c r="K5" i="1"/>
  <c r="S85" i="1"/>
  <c r="O5" i="2"/>
  <c r="O9" i="2"/>
  <c r="O21" i="2"/>
  <c r="H68" i="1"/>
  <c r="S16" i="1"/>
  <c r="P20" i="2"/>
  <c r="H18" i="1"/>
  <c r="Q28" i="1"/>
  <c r="K31" i="1"/>
  <c r="H39" i="3"/>
  <c r="K47" i="1"/>
  <c r="H76" i="1"/>
  <c r="R81" i="1"/>
  <c r="N52" i="1"/>
  <c r="R68" i="1"/>
  <c r="H40" i="3"/>
  <c r="AL69" i="4"/>
  <c r="S10" i="1"/>
  <c r="L96" i="4"/>
  <c r="AL44" i="4"/>
  <c r="AN44" i="4" s="1"/>
  <c r="S13" i="1"/>
  <c r="Q31" i="1"/>
  <c r="K34" i="1"/>
  <c r="Q52" i="1"/>
  <c r="H41" i="3"/>
  <c r="AL31" i="4"/>
  <c r="Q47" i="1"/>
  <c r="N60" i="1"/>
  <c r="L7" i="2"/>
  <c r="AM25" i="4"/>
  <c r="I60" i="3"/>
  <c r="R16" i="1"/>
  <c r="N42" i="1"/>
  <c r="N55" i="1"/>
  <c r="Q68" i="1"/>
  <c r="H24" i="1"/>
  <c r="Q42" i="1"/>
  <c r="R53" i="1"/>
  <c r="T53" i="1" s="1"/>
  <c r="I4" i="2"/>
  <c r="Q20" i="2"/>
  <c r="K76" i="1"/>
  <c r="Q63" i="1"/>
  <c r="S84" i="1"/>
  <c r="I20" i="2"/>
  <c r="N16" i="1"/>
  <c r="R32" i="1"/>
  <c r="K40" i="1"/>
  <c r="Q45" i="1"/>
  <c r="N74" i="1"/>
  <c r="R90" i="1"/>
  <c r="K66" i="1"/>
  <c r="H19" i="1"/>
  <c r="R40" i="1"/>
  <c r="K53" i="1"/>
  <c r="R69" i="1"/>
  <c r="H82" i="1"/>
  <c r="R6" i="1"/>
  <c r="R27" i="1"/>
  <c r="S32" i="1"/>
  <c r="S58" i="1"/>
  <c r="O8" i="2"/>
  <c r="S6" i="1"/>
  <c r="S35" i="1"/>
  <c r="R85" i="1"/>
  <c r="T85" i="1" s="1"/>
  <c r="F21" i="2"/>
  <c r="N90" i="1"/>
  <c r="Q61" i="1"/>
  <c r="K46" i="1"/>
  <c r="R59" i="1"/>
  <c r="N85" i="1"/>
  <c r="I48" i="3"/>
  <c r="R12" i="1"/>
  <c r="R54" i="1"/>
  <c r="I56" i="3"/>
  <c r="N9" i="1"/>
  <c r="Q72" i="1"/>
  <c r="K75" i="1"/>
  <c r="Q85" i="1"/>
  <c r="H36" i="3"/>
  <c r="L18" i="2"/>
  <c r="I63" i="3"/>
  <c r="N6" i="1"/>
  <c r="Q35" i="1"/>
  <c r="Q6" i="1"/>
  <c r="Q38" i="1"/>
  <c r="Q6" i="2"/>
  <c r="R7" i="1"/>
  <c r="S36" i="1"/>
  <c r="R44" i="1"/>
  <c r="R62" i="1"/>
  <c r="P10" i="2"/>
  <c r="R4" i="1"/>
  <c r="S7" i="1"/>
  <c r="Q25" i="1"/>
  <c r="S41" i="1"/>
  <c r="Q59" i="1"/>
  <c r="S4" i="1"/>
  <c r="T4" i="1" s="1"/>
  <c r="Q33" i="1"/>
  <c r="K36" i="1"/>
  <c r="R65" i="1"/>
  <c r="N83" i="1"/>
  <c r="Q88" i="1"/>
  <c r="R57" i="1"/>
  <c r="N70" i="1"/>
  <c r="N78" i="1"/>
  <c r="H86" i="1"/>
  <c r="H31" i="1"/>
  <c r="R47" i="1"/>
  <c r="K65" i="1"/>
  <c r="R86" i="1"/>
  <c r="R94" i="1"/>
  <c r="O6" i="2"/>
  <c r="O10" i="2"/>
  <c r="O18" i="2"/>
  <c r="N51" i="1"/>
  <c r="K72" i="1"/>
  <c r="H25" i="3"/>
  <c r="G25" i="3" s="1"/>
  <c r="AL64" i="4"/>
  <c r="S39" i="1"/>
  <c r="AM13" i="4"/>
  <c r="AM32" i="4"/>
  <c r="R39" i="1"/>
  <c r="R49" i="1"/>
  <c r="Q64" i="1"/>
  <c r="S75" i="1"/>
  <c r="T75" i="1" s="1"/>
  <c r="S77" i="1"/>
  <c r="H26" i="3"/>
  <c r="E26" i="3" s="1"/>
  <c r="I61" i="3"/>
  <c r="AL13" i="4"/>
  <c r="AN13" i="4" s="1"/>
  <c r="AM19" i="4"/>
  <c r="S69" i="1"/>
  <c r="I53" i="3"/>
  <c r="AL32" i="4"/>
  <c r="K8" i="1"/>
  <c r="S67" i="1"/>
  <c r="T67" i="1" s="1"/>
  <c r="Q77" i="1"/>
  <c r="S62" i="1"/>
  <c r="AL45" i="4"/>
  <c r="AL77" i="4"/>
  <c r="N29" i="1"/>
  <c r="H37" i="1"/>
  <c r="K24" i="1"/>
  <c r="N62" i="1"/>
  <c r="Q67" i="1"/>
  <c r="AL65" i="4"/>
  <c r="Q29" i="1"/>
  <c r="K42" i="1"/>
  <c r="S42" i="1"/>
  <c r="T42" i="1" s="1"/>
  <c r="N47" i="1"/>
  <c r="R50" i="1"/>
  <c r="N57" i="1"/>
  <c r="AM81" i="4"/>
  <c r="K19" i="1"/>
  <c r="H27" i="1"/>
  <c r="S27" i="1"/>
  <c r="T27" i="1" s="1"/>
  <c r="H32" i="1"/>
  <c r="L21" i="2"/>
  <c r="AL59" i="4"/>
  <c r="AL91" i="4"/>
  <c r="Q10" i="2"/>
  <c r="R10" i="2" s="1"/>
  <c r="H35" i="3"/>
  <c r="AL79" i="4"/>
  <c r="N14" i="1"/>
  <c r="H17" i="1"/>
  <c r="R35" i="1"/>
  <c r="K45" i="1"/>
  <c r="R91" i="1"/>
  <c r="L6" i="2"/>
  <c r="L10" i="2"/>
  <c r="I18" i="2"/>
  <c r="Z96" i="4"/>
  <c r="AL9" i="4"/>
  <c r="AL22" i="4"/>
  <c r="G16" i="3"/>
  <c r="F18" i="2"/>
  <c r="L16" i="3"/>
  <c r="L20" i="3"/>
  <c r="H23" i="1"/>
  <c r="K56" i="1"/>
  <c r="K61" i="1"/>
  <c r="N15" i="1"/>
  <c r="Q20" i="1"/>
  <c r="F8" i="2"/>
  <c r="N10" i="1"/>
  <c r="N46" i="1"/>
  <c r="K49" i="1"/>
  <c r="K59" i="1"/>
  <c r="AM31" i="4"/>
  <c r="AN31" i="4" s="1"/>
  <c r="S5" i="1"/>
  <c r="R13" i="1"/>
  <c r="N77" i="1"/>
  <c r="AL25" i="4"/>
  <c r="AL57" i="4"/>
  <c r="AL89" i="4"/>
  <c r="AN89" i="4" s="1"/>
  <c r="K54" i="1"/>
  <c r="S54" i="1"/>
  <c r="K62" i="1"/>
  <c r="AL39" i="4"/>
  <c r="AM21" i="4"/>
  <c r="AM53" i="4"/>
  <c r="AM59" i="4"/>
  <c r="AM91" i="4"/>
  <c r="AL21" i="4"/>
  <c r="AN21" i="4" s="1"/>
  <c r="AL53" i="4"/>
  <c r="AN53" i="4" s="1"/>
  <c r="AL85" i="4"/>
  <c r="X96" i="4"/>
  <c r="H35" i="1"/>
  <c r="AM9" i="4"/>
  <c r="S86" i="1"/>
  <c r="T86" i="1" s="1"/>
  <c r="H94" i="1"/>
  <c r="Q9" i="1"/>
  <c r="N22" i="1"/>
  <c r="N30" i="1"/>
  <c r="AM29" i="4"/>
  <c r="T38" i="1"/>
  <c r="K71" i="1"/>
  <c r="H79" i="1"/>
  <c r="H16" i="3"/>
  <c r="N25" i="1"/>
  <c r="R28" i="1"/>
  <c r="R74" i="1"/>
  <c r="I16" i="3"/>
  <c r="N66" i="1"/>
  <c r="H87" i="1"/>
  <c r="N92" i="1"/>
  <c r="H49" i="1"/>
  <c r="R87" i="1"/>
  <c r="P8" i="2"/>
  <c r="N41" i="1"/>
  <c r="Q92" i="1"/>
  <c r="AM44" i="4"/>
  <c r="AL63" i="4"/>
  <c r="AM76" i="4"/>
  <c r="Q10" i="1"/>
  <c r="H54" i="1"/>
  <c r="S82" i="1"/>
  <c r="AM57" i="4"/>
  <c r="AN57" i="4" s="1"/>
  <c r="AM89" i="4"/>
  <c r="Q41" i="1"/>
  <c r="N87" i="1"/>
  <c r="N34" i="1"/>
  <c r="S59" i="1"/>
  <c r="T59" i="1" s="1"/>
  <c r="AM85" i="4"/>
  <c r="H40" i="1"/>
  <c r="S40" i="1"/>
  <c r="AB96" i="4"/>
  <c r="AM34" i="4"/>
  <c r="Y96" i="4"/>
  <c r="AM22" i="4"/>
  <c r="H12" i="1"/>
  <c r="R17" i="1"/>
  <c r="Q91" i="1"/>
  <c r="H37" i="3"/>
  <c r="Q4" i="1"/>
  <c r="N86" i="1"/>
  <c r="K94" i="1"/>
  <c r="F16" i="3"/>
  <c r="AM93" i="4"/>
  <c r="N81" i="1"/>
  <c r="H89" i="1"/>
  <c r="Q7" i="2"/>
  <c r="Q11" i="2"/>
  <c r="R66" i="1"/>
  <c r="Q76" i="1"/>
  <c r="H84" i="1"/>
  <c r="R15" i="1"/>
  <c r="R10" i="1"/>
  <c r="S15" i="1"/>
  <c r="T15" i="1" s="1"/>
  <c r="H28" i="1"/>
  <c r="R61" i="1"/>
  <c r="N71" i="1"/>
  <c r="Q19" i="2"/>
  <c r="J16" i="3"/>
  <c r="J20" i="3"/>
  <c r="L15" i="2"/>
  <c r="I19" i="2"/>
  <c r="K16" i="3"/>
  <c r="K20" i="3"/>
  <c r="Q39" i="1"/>
  <c r="Q56" i="1"/>
  <c r="N61" i="1"/>
  <c r="K74" i="1"/>
  <c r="Q81" i="1"/>
  <c r="Q14" i="2"/>
  <c r="D8" i="3"/>
  <c r="H27" i="3"/>
  <c r="E27" i="3" s="1"/>
  <c r="T96" i="4"/>
  <c r="AL51" i="4"/>
  <c r="AL83" i="4"/>
  <c r="K17" i="1"/>
  <c r="K32" i="1"/>
  <c r="K44" i="1"/>
  <c r="H59" i="1"/>
  <c r="H64" i="1"/>
  <c r="Q66" i="1"/>
  <c r="K79" i="1"/>
  <c r="P7" i="2"/>
  <c r="P11" i="2"/>
  <c r="P14" i="2"/>
  <c r="E8" i="3"/>
  <c r="AL7" i="4"/>
  <c r="AM45" i="4"/>
  <c r="AM77" i="4"/>
  <c r="AM83" i="4"/>
  <c r="N79" i="1"/>
  <c r="K84" i="1"/>
  <c r="N94" i="1"/>
  <c r="P15" i="2"/>
  <c r="I47" i="3"/>
  <c r="Q12" i="1"/>
  <c r="R20" i="1"/>
  <c r="R25" i="1"/>
  <c r="Q27" i="1"/>
  <c r="S37" i="1"/>
  <c r="S47" i="1"/>
  <c r="S49" i="1"/>
  <c r="S52" i="1"/>
  <c r="T52" i="1" s="1"/>
  <c r="R72" i="1"/>
  <c r="Q74" i="1"/>
  <c r="H77" i="1"/>
  <c r="Q15" i="2"/>
  <c r="D16" i="3"/>
  <c r="H29" i="3"/>
  <c r="G29" i="3" s="1"/>
  <c r="AM7" i="4"/>
  <c r="AM33" i="4"/>
  <c r="AN33" i="4" s="1"/>
  <c r="AM39" i="4"/>
  <c r="Q7" i="1"/>
  <c r="K10" i="1"/>
  <c r="K15" i="1"/>
  <c r="Q17" i="1"/>
  <c r="H20" i="1"/>
  <c r="S25" i="1"/>
  <c r="T25" i="1" s="1"/>
  <c r="Q32" i="1"/>
  <c r="Q44" i="1"/>
  <c r="N54" i="1"/>
  <c r="N64" i="1"/>
  <c r="N69" i="1"/>
  <c r="S72" i="1"/>
  <c r="Q79" i="1"/>
  <c r="N89" i="1"/>
  <c r="H92" i="1"/>
  <c r="L11" i="2"/>
  <c r="I15" i="2"/>
  <c r="E16" i="3"/>
  <c r="I55" i="3"/>
  <c r="AL33" i="4"/>
  <c r="AM65" i="4"/>
  <c r="AM41" i="4"/>
  <c r="AL54" i="4"/>
  <c r="AM73" i="4"/>
  <c r="AM79" i="4"/>
  <c r="AL86" i="4"/>
  <c r="I57" i="3"/>
  <c r="AL73" i="4"/>
  <c r="N28" i="1"/>
  <c r="K70" i="1"/>
  <c r="P12" i="2"/>
  <c r="R11" i="1"/>
  <c r="H16" i="1"/>
  <c r="N18" i="1"/>
  <c r="N23" i="1"/>
  <c r="N33" i="1"/>
  <c r="N38" i="1"/>
  <c r="K55" i="1"/>
  <c r="H60" i="1"/>
  <c r="R73" i="1"/>
  <c r="R93" i="1"/>
  <c r="P5" i="2"/>
  <c r="R5" i="2" s="1"/>
  <c r="Q12" i="2"/>
  <c r="N16" i="3"/>
  <c r="D96" i="4"/>
  <c r="AJ96" i="4"/>
  <c r="AM35" i="4"/>
  <c r="AL67" i="4"/>
  <c r="N13" i="1"/>
  <c r="N50" i="1"/>
  <c r="F42" i="3"/>
  <c r="G36" i="3" s="1"/>
  <c r="AL35" i="4"/>
  <c r="Q8" i="1"/>
  <c r="Q13" i="1"/>
  <c r="R36" i="1"/>
  <c r="T36" i="1" s="1"/>
  <c r="S73" i="1"/>
  <c r="Q5" i="2"/>
  <c r="P9" i="2"/>
  <c r="O12" i="2"/>
  <c r="P16" i="2"/>
  <c r="O16" i="3"/>
  <c r="AM67" i="4"/>
  <c r="AL23" i="4"/>
  <c r="AL61" i="4"/>
  <c r="AL93" i="4"/>
  <c r="H55" i="1"/>
  <c r="D42" i="3"/>
  <c r="E38" i="3" s="1"/>
  <c r="AM86" i="4"/>
  <c r="S21" i="1"/>
  <c r="T21" i="1" s="1"/>
  <c r="S60" i="1"/>
  <c r="T60" i="1" s="1"/>
  <c r="S78" i="1"/>
  <c r="T78" i="1" s="1"/>
  <c r="R83" i="1"/>
  <c r="Q9" i="2"/>
  <c r="Q16" i="2"/>
  <c r="R16" i="2" s="1"/>
  <c r="K11" i="1"/>
  <c r="K26" i="1"/>
  <c r="R31" i="1"/>
  <c r="R58" i="1"/>
  <c r="R63" i="1"/>
  <c r="K73" i="1"/>
  <c r="S83" i="1"/>
  <c r="R88" i="1"/>
  <c r="Q90" i="1"/>
  <c r="I9" i="2"/>
  <c r="F13" i="2"/>
  <c r="F17" i="2"/>
  <c r="L20" i="2"/>
  <c r="AM23" i="4"/>
  <c r="I51" i="3"/>
  <c r="AL17" i="4"/>
  <c r="AL55" i="4"/>
  <c r="AL87" i="4"/>
  <c r="Q13" i="2"/>
  <c r="R13" i="2" s="1"/>
  <c r="Q65" i="1"/>
  <c r="AM87" i="4"/>
  <c r="I59" i="3"/>
  <c r="AM5" i="4"/>
  <c r="AM11" i="4"/>
  <c r="AL27" i="4"/>
  <c r="AL49" i="4"/>
  <c r="AL81" i="4"/>
  <c r="AL5" i="4"/>
  <c r="AN5" i="4" s="1"/>
  <c r="AM37" i="4"/>
  <c r="AL43" i="4"/>
  <c r="AL75" i="4"/>
  <c r="S28" i="1"/>
  <c r="Q40" i="1"/>
  <c r="S57" i="1"/>
  <c r="M16" i="3"/>
  <c r="K38" i="1"/>
  <c r="Q62" i="1"/>
  <c r="N75" i="1"/>
  <c r="AL41" i="4"/>
  <c r="S88" i="1"/>
  <c r="T88" i="1" s="1"/>
  <c r="Q17" i="2"/>
  <c r="N11" i="1"/>
  <c r="N26" i="1"/>
  <c r="K43" i="1"/>
  <c r="K83" i="1"/>
  <c r="O20" i="2"/>
  <c r="M20" i="3"/>
  <c r="AL11" i="4"/>
  <c r="AM17" i="4"/>
  <c r="AM27" i="4"/>
  <c r="AM49" i="4"/>
  <c r="AM55" i="4"/>
  <c r="AM71" i="4"/>
  <c r="R9" i="1"/>
  <c r="N21" i="1"/>
  <c r="R29" i="1"/>
  <c r="H41" i="1"/>
  <c r="N53" i="1"/>
  <c r="Q60" i="1"/>
  <c r="K63" i="1"/>
  <c r="S68" i="1"/>
  <c r="T68" i="1" s="1"/>
  <c r="N93" i="1"/>
  <c r="K4" i="1"/>
  <c r="H9" i="1"/>
  <c r="Q16" i="1"/>
  <c r="Q26" i="1"/>
  <c r="S43" i="1"/>
  <c r="R46" i="1"/>
  <c r="Q73" i="1"/>
  <c r="H34" i="1"/>
  <c r="Q36" i="1"/>
  <c r="R43" i="1"/>
  <c r="Q53" i="1"/>
  <c r="N63" i="1"/>
  <c r="N88" i="1"/>
  <c r="Q93" i="1"/>
  <c r="K9" i="1"/>
  <c r="K14" i="1"/>
  <c r="K29" i="1"/>
  <c r="R56" i="1"/>
  <c r="N58" i="1"/>
  <c r="H71" i="1"/>
  <c r="H91" i="1"/>
  <c r="P6" i="2"/>
  <c r="F10" i="2"/>
  <c r="O13" i="2"/>
  <c r="O17" i="2"/>
  <c r="Q21" i="2"/>
  <c r="AM12" i="4"/>
  <c r="AL37" i="4"/>
  <c r="AM43" i="4"/>
  <c r="AM69" i="4"/>
  <c r="AN69" i="4" s="1"/>
  <c r="AM75" i="4"/>
  <c r="AL20" i="4"/>
  <c r="AL74" i="4"/>
  <c r="AM74" i="4"/>
  <c r="I96" i="4"/>
  <c r="AL29" i="4"/>
  <c r="AL47" i="4"/>
  <c r="J96" i="4"/>
  <c r="AM47" i="4"/>
  <c r="AL71" i="4"/>
  <c r="K96" i="4"/>
  <c r="AL42" i="4"/>
  <c r="AM54" i="4"/>
  <c r="AL84" i="4"/>
  <c r="AL19" i="4"/>
  <c r="AM61" i="4"/>
  <c r="AM15" i="4"/>
  <c r="AM51" i="4"/>
  <c r="H96" i="4"/>
  <c r="AC96" i="4"/>
  <c r="AM64" i="4"/>
  <c r="AM10" i="4"/>
  <c r="AL10" i="4"/>
  <c r="AM63" i="4"/>
  <c r="AA96" i="4"/>
  <c r="AM42" i="4"/>
  <c r="AL52" i="4"/>
  <c r="AM52" i="4"/>
  <c r="AL62" i="4"/>
  <c r="AD96" i="4"/>
  <c r="AL8" i="4"/>
  <c r="AM62" i="4"/>
  <c r="AL72" i="4"/>
  <c r="AE96" i="4"/>
  <c r="AM8" i="4"/>
  <c r="AL18" i="4"/>
  <c r="AM72" i="4"/>
  <c r="AL82" i="4"/>
  <c r="AF96" i="4"/>
  <c r="AM18" i="4"/>
  <c r="AL28" i="4"/>
  <c r="AM82" i="4"/>
  <c r="AL92" i="4"/>
  <c r="AG96" i="4"/>
  <c r="AM28" i="4"/>
  <c r="AL38" i="4"/>
  <c r="AM92" i="4"/>
  <c r="AH96" i="4"/>
  <c r="AM38" i="4"/>
  <c r="AL48" i="4"/>
  <c r="AI96" i="4"/>
  <c r="AM48" i="4"/>
  <c r="AL58" i="4"/>
  <c r="AM58" i="4"/>
  <c r="AL68" i="4"/>
  <c r="E96" i="4"/>
  <c r="AK96" i="4"/>
  <c r="AL14" i="4"/>
  <c r="AM68" i="4"/>
  <c r="AL78" i="4"/>
  <c r="F96" i="4"/>
  <c r="AM14" i="4"/>
  <c r="AL24" i="4"/>
  <c r="AM78" i="4"/>
  <c r="AL88" i="4"/>
  <c r="G96" i="4"/>
  <c r="AM24" i="4"/>
  <c r="AL34" i="4"/>
  <c r="AM88" i="4"/>
  <c r="AL94" i="4"/>
  <c r="AM94" i="4"/>
  <c r="AM56" i="4"/>
  <c r="AL66" i="4"/>
  <c r="M96" i="4"/>
  <c r="AM20" i="4"/>
  <c r="AL30" i="4"/>
  <c r="AM84" i="4"/>
  <c r="N96" i="4"/>
  <c r="AM30" i="4"/>
  <c r="AL40" i="4"/>
  <c r="O96" i="4"/>
  <c r="AM40" i="4"/>
  <c r="AL50" i="4"/>
  <c r="P96" i="4"/>
  <c r="AM50" i="4"/>
  <c r="AL60" i="4"/>
  <c r="Q96" i="4"/>
  <c r="AL6" i="4"/>
  <c r="AM60" i="4"/>
  <c r="AL70" i="4"/>
  <c r="R96" i="4"/>
  <c r="AM6" i="4"/>
  <c r="AL16" i="4"/>
  <c r="AM70" i="4"/>
  <c r="AL80" i="4"/>
  <c r="S96" i="4"/>
  <c r="AM16" i="4"/>
  <c r="AL26" i="4"/>
  <c r="AM80" i="4"/>
  <c r="AL90" i="4"/>
  <c r="AM26" i="4"/>
  <c r="AL36" i="4"/>
  <c r="AM90" i="4"/>
  <c r="U96" i="4"/>
  <c r="AM36" i="4"/>
  <c r="AL46" i="4"/>
  <c r="V96" i="4"/>
  <c r="AM46" i="4"/>
  <c r="AL56" i="4"/>
  <c r="W96" i="4"/>
  <c r="AL12" i="4"/>
  <c r="AM66" i="4"/>
  <c r="AL76" i="4"/>
  <c r="AL4" i="4"/>
  <c r="AM4" i="4"/>
  <c r="G38" i="3"/>
  <c r="E64" i="3"/>
  <c r="F60" i="3" s="1"/>
  <c r="I54" i="3"/>
  <c r="F56" i="3"/>
  <c r="D31" i="3"/>
  <c r="I58" i="3"/>
  <c r="G27" i="3"/>
  <c r="H38" i="3"/>
  <c r="E39" i="3"/>
  <c r="E40" i="3"/>
  <c r="E41" i="3"/>
  <c r="G41" i="3"/>
  <c r="D20" i="3"/>
  <c r="E20" i="3"/>
  <c r="F20" i="3"/>
  <c r="G20" i="3"/>
  <c r="H30" i="3"/>
  <c r="E30" i="3" s="1"/>
  <c r="H20" i="3"/>
  <c r="I50" i="3"/>
  <c r="I20" i="3"/>
  <c r="G64" i="3"/>
  <c r="H64" i="3" s="1"/>
  <c r="I46" i="3"/>
  <c r="I62" i="3"/>
  <c r="F31" i="3"/>
  <c r="G37" i="3"/>
  <c r="H24" i="3"/>
  <c r="H55" i="3"/>
  <c r="H59" i="3"/>
  <c r="H63" i="3"/>
  <c r="G35" i="3"/>
  <c r="R20" i="2"/>
  <c r="I22" i="2"/>
  <c r="F15" i="2"/>
  <c r="Q4" i="2"/>
  <c r="F9" i="2"/>
  <c r="P19" i="2"/>
  <c r="F7" i="2"/>
  <c r="F5" i="2"/>
  <c r="F22" i="2" s="1"/>
  <c r="G22" i="2"/>
  <c r="F20" i="2"/>
  <c r="O16" i="2"/>
  <c r="F6" i="2"/>
  <c r="Q8" i="2"/>
  <c r="O4" i="2"/>
  <c r="O22" i="2" s="1"/>
  <c r="F11" i="2"/>
  <c r="P21" i="2"/>
  <c r="P4" i="2"/>
  <c r="P22" i="2" s="1"/>
  <c r="D22" i="2"/>
  <c r="P17" i="2"/>
  <c r="P13" i="2"/>
  <c r="L14" i="2"/>
  <c r="O14" i="2"/>
  <c r="L4" i="2"/>
  <c r="I10" i="2"/>
  <c r="L12" i="2"/>
  <c r="I8" i="2"/>
  <c r="Q43" i="1"/>
  <c r="H67" i="1"/>
  <c r="N91" i="1"/>
  <c r="Q69" i="1"/>
  <c r="Q34" i="1"/>
  <c r="K39" i="1"/>
  <c r="K67" i="1"/>
  <c r="H72" i="1"/>
  <c r="N8" i="1"/>
  <c r="Q15" i="1"/>
  <c r="N39" i="1"/>
  <c r="H13" i="1"/>
  <c r="N32" i="1"/>
  <c r="H65" i="1"/>
  <c r="K89" i="1"/>
  <c r="F95" i="1"/>
  <c r="S11" i="1"/>
  <c r="H11" i="1"/>
  <c r="G95" i="1"/>
  <c r="Q55" i="1"/>
  <c r="K60" i="1"/>
  <c r="S94" i="1"/>
  <c r="Q94" i="1"/>
  <c r="H4" i="1"/>
  <c r="H58" i="1"/>
  <c r="K82" i="1"/>
  <c r="Q89" i="1"/>
  <c r="S12" i="1"/>
  <c r="H15" i="1"/>
  <c r="K41" i="1"/>
  <c r="N43" i="1"/>
  <c r="N17" i="1"/>
  <c r="H62" i="1"/>
  <c r="T6" i="1"/>
  <c r="T30" i="1"/>
  <c r="H47" i="1"/>
  <c r="K87" i="1"/>
  <c r="K28" i="1"/>
  <c r="Q51" i="1"/>
  <c r="S56" i="1"/>
  <c r="H56" i="1"/>
  <c r="H21" i="1"/>
  <c r="Q23" i="1"/>
  <c r="Q49" i="1"/>
  <c r="R78" i="1"/>
  <c r="H85" i="1"/>
  <c r="K21" i="1"/>
  <c r="S45" i="1"/>
  <c r="H78" i="1"/>
  <c r="H45" i="1"/>
  <c r="R52" i="1"/>
  <c r="K85" i="1"/>
  <c r="S19" i="1"/>
  <c r="R45" i="1"/>
  <c r="R76" i="1"/>
  <c r="K78" i="1"/>
  <c r="Q80" i="1"/>
  <c r="S90" i="1"/>
  <c r="H90" i="1"/>
  <c r="H52" i="1"/>
  <c r="S76" i="1"/>
  <c r="H83" i="1"/>
  <c r="K52" i="1"/>
  <c r="N45" i="1"/>
  <c r="H69" i="1"/>
  <c r="N19" i="1"/>
  <c r="S81" i="1"/>
  <c r="H81" i="1"/>
  <c r="Q71" i="1"/>
  <c r="H74" i="1"/>
  <c r="S74" i="1"/>
  <c r="N76" i="1"/>
  <c r="H33" i="1"/>
  <c r="K13" i="1"/>
  <c r="K35" i="1"/>
  <c r="S63" i="1"/>
  <c r="H63" i="1"/>
  <c r="S48" i="1"/>
  <c r="T48" i="1" s="1"/>
  <c r="H48" i="1"/>
  <c r="N35" i="1"/>
  <c r="H7" i="1"/>
  <c r="Q37" i="1"/>
  <c r="S61" i="1"/>
  <c r="H61" i="1"/>
  <c r="N72" i="1"/>
  <c r="H88" i="1"/>
  <c r="J95" i="1"/>
  <c r="N31" i="1"/>
  <c r="Q54" i="1"/>
  <c r="Q83" i="1"/>
  <c r="K88" i="1"/>
  <c r="K27" i="1"/>
  <c r="Q22" i="1"/>
  <c r="S44" i="1"/>
  <c r="T44" i="1" s="1"/>
  <c r="H44" i="1"/>
  <c r="L95" i="1"/>
  <c r="R5" i="1"/>
  <c r="S9" i="1"/>
  <c r="H38" i="1"/>
  <c r="K25" i="1"/>
  <c r="S31" i="1"/>
  <c r="K68" i="1"/>
  <c r="N5" i="1"/>
  <c r="Q18" i="1"/>
  <c r="S20" i="1"/>
  <c r="Q46" i="1"/>
  <c r="Q70" i="1"/>
  <c r="K86" i="1"/>
  <c r="O95" i="1"/>
  <c r="N68" i="1"/>
  <c r="H73" i="1"/>
  <c r="H36" i="1"/>
  <c r="R84" i="1"/>
  <c r="T84" i="1" s="1"/>
  <c r="N24" i="1"/>
  <c r="N56" i="1"/>
  <c r="K90" i="1"/>
  <c r="N37" i="1"/>
  <c r="K81" i="1"/>
  <c r="S29" i="1"/>
  <c r="H29" i="1"/>
  <c r="I95" i="1"/>
  <c r="H70" i="1"/>
  <c r="S70" i="1"/>
  <c r="T70" i="1" s="1"/>
  <c r="K7" i="1"/>
  <c r="Q50" i="1"/>
  <c r="N7" i="1"/>
  <c r="H25" i="1"/>
  <c r="Q48" i="1"/>
  <c r="H66" i="1"/>
  <c r="S66" i="1"/>
  <c r="H75" i="1"/>
  <c r="R23" i="1"/>
  <c r="K23" i="1"/>
  <c r="Q57" i="1"/>
  <c r="K64" i="1"/>
  <c r="S64" i="1"/>
  <c r="T64" i="1" s="1"/>
  <c r="Q14" i="1"/>
  <c r="R71" i="1"/>
  <c r="R80" i="1"/>
  <c r="S91" i="1"/>
  <c r="R21" i="1"/>
  <c r="H30" i="1"/>
  <c r="H80" i="1"/>
  <c r="S80" i="1"/>
  <c r="T80" i="1" s="1"/>
  <c r="K91" i="1"/>
  <c r="P95" i="1"/>
  <c r="R34" i="1"/>
  <c r="S46" i="1"/>
  <c r="Q78" i="1"/>
  <c r="Q5" i="1"/>
  <c r="H46" i="1"/>
  <c r="N82" i="1"/>
  <c r="S93" i="1"/>
  <c r="Q11" i="1"/>
  <c r="Q21" i="1"/>
  <c r="R26" i="1"/>
  <c r="K48" i="1"/>
  <c r="S50" i="1"/>
  <c r="K50" i="1"/>
  <c r="H93" i="1"/>
  <c r="R24" i="1"/>
  <c r="S26" i="1"/>
  <c r="K30" i="1"/>
  <c r="N40" i="1"/>
  <c r="Q58" i="1"/>
  <c r="R89" i="1"/>
  <c r="S24" i="1"/>
  <c r="H26" i="1"/>
  <c r="S89" i="1"/>
  <c r="T89" i="1" s="1"/>
  <c r="H10" i="1"/>
  <c r="K12" i="1"/>
  <c r="R22" i="1"/>
  <c r="K16" i="1"/>
  <c r="K20" i="1"/>
  <c r="S22" i="1"/>
  <c r="T22" i="1" s="1"/>
  <c r="N4" i="1"/>
  <c r="M95" i="1"/>
  <c r="S8" i="1"/>
  <c r="S18" i="1"/>
  <c r="T18" i="1" s="1"/>
  <c r="K22" i="1"/>
  <c r="Q24" i="1"/>
  <c r="R41" i="1"/>
  <c r="K57" i="1"/>
  <c r="H8" i="1"/>
  <c r="K18" i="1"/>
  <c r="N65" i="1"/>
  <c r="N73" i="1"/>
  <c r="R8" i="1"/>
  <c r="R37" i="1"/>
  <c r="T37" i="1" s="1"/>
  <c r="H43" i="1"/>
  <c r="R55" i="1"/>
  <c r="R51" i="1"/>
  <c r="R92" i="1"/>
  <c r="R14" i="1"/>
  <c r="N36" i="1"/>
  <c r="S51" i="1"/>
  <c r="T51" i="1" s="1"/>
  <c r="Q84" i="1"/>
  <c r="S14" i="1"/>
  <c r="S17" i="1"/>
  <c r="Q19" i="1"/>
  <c r="H51" i="1"/>
  <c r="S71" i="1"/>
  <c r="Q82" i="1"/>
  <c r="H14" i="1"/>
  <c r="S34" i="1"/>
  <c r="H42" i="1"/>
  <c r="R77" i="1"/>
  <c r="S92" i="1"/>
  <c r="H5" i="1"/>
  <c r="K92" i="1"/>
  <c r="H6" i="1"/>
  <c r="Q87" i="1"/>
  <c r="N67" i="1"/>
  <c r="K80" i="1"/>
  <c r="R19" i="1"/>
  <c r="R60" i="1"/>
  <c r="R82" i="1"/>
  <c r="S33" i="1"/>
  <c r="T33" i="1" s="1"/>
  <c r="S65" i="1"/>
  <c r="S23" i="1"/>
  <c r="S55" i="1"/>
  <c r="S87" i="1"/>
  <c r="AN85" i="4" l="1"/>
  <c r="AN6" i="4"/>
  <c r="AN9" i="4"/>
  <c r="T54" i="1"/>
  <c r="AN15" i="4"/>
  <c r="T73" i="1"/>
  <c r="E25" i="3"/>
  <c r="R7" i="2"/>
  <c r="T81" i="1"/>
  <c r="AN55" i="4"/>
  <c r="AN12" i="4"/>
  <c r="T90" i="1"/>
  <c r="T35" i="1"/>
  <c r="E35" i="3"/>
  <c r="E37" i="3"/>
  <c r="G28" i="3"/>
  <c r="AN64" i="4"/>
  <c r="AN11" i="4"/>
  <c r="AN86" i="4"/>
  <c r="T65" i="1"/>
  <c r="T82" i="1"/>
  <c r="AN41" i="4"/>
  <c r="T7" i="1"/>
  <c r="AN67" i="4"/>
  <c r="R17" i="2"/>
  <c r="T32" i="1"/>
  <c r="T58" i="1"/>
  <c r="E29" i="3"/>
  <c r="AN52" i="4"/>
  <c r="T10" i="1"/>
  <c r="R12" i="2"/>
  <c r="R11" i="2"/>
  <c r="T16" i="1"/>
  <c r="T12" i="1"/>
  <c r="T13" i="1"/>
  <c r="T5" i="1"/>
  <c r="T83" i="1"/>
  <c r="T29" i="1"/>
  <c r="AN71" i="4"/>
  <c r="T61" i="1"/>
  <c r="R21" i="2"/>
  <c r="T57" i="1"/>
  <c r="T40" i="1"/>
  <c r="AN81" i="4"/>
  <c r="T41" i="1"/>
  <c r="T43" i="1"/>
  <c r="T72" i="1"/>
  <c r="G26" i="3"/>
  <c r="T28" i="1"/>
  <c r="AN20" i="4"/>
  <c r="AN75" i="4"/>
  <c r="R9" i="2"/>
  <c r="G40" i="3"/>
  <c r="AN43" i="4"/>
  <c r="T77" i="1"/>
  <c r="H51" i="3"/>
  <c r="H47" i="3"/>
  <c r="H48" i="3"/>
  <c r="T71" i="1"/>
  <c r="T94" i="1"/>
  <c r="G39" i="3"/>
  <c r="H53" i="3"/>
  <c r="R6" i="2"/>
  <c r="AN22" i="4"/>
  <c r="H62" i="3"/>
  <c r="AN49" i="4"/>
  <c r="AN51" i="4"/>
  <c r="AN27" i="4"/>
  <c r="AN87" i="4"/>
  <c r="AN73" i="4"/>
  <c r="AN77" i="4"/>
  <c r="R15" i="2"/>
  <c r="AN45" i="4"/>
  <c r="R8" i="2"/>
  <c r="T62" i="1"/>
  <c r="T26" i="1"/>
  <c r="E36" i="3"/>
  <c r="AN61" i="4"/>
  <c r="AN39" i="4"/>
  <c r="T11" i="1"/>
  <c r="T74" i="1"/>
  <c r="AN54" i="4"/>
  <c r="T49" i="1"/>
  <c r="AN32" i="4"/>
  <c r="T87" i="1"/>
  <c r="T50" i="1"/>
  <c r="AN65" i="4"/>
  <c r="T47" i="1"/>
  <c r="G30" i="3"/>
  <c r="R14" i="2"/>
  <c r="T69" i="1"/>
  <c r="T9" i="1"/>
  <c r="R19" i="2"/>
  <c r="AN25" i="4"/>
  <c r="T66" i="1"/>
  <c r="AN83" i="4"/>
  <c r="T31" i="1"/>
  <c r="AN17" i="4"/>
  <c r="AN70" i="4"/>
  <c r="AN35" i="4"/>
  <c r="AN14" i="4"/>
  <c r="K95" i="1"/>
  <c r="AN63" i="4"/>
  <c r="AN68" i="4"/>
  <c r="AN10" i="4"/>
  <c r="AN29" i="4"/>
  <c r="R95" i="1"/>
  <c r="T56" i="1"/>
  <c r="T93" i="1"/>
  <c r="AN79" i="4"/>
  <c r="T76" i="1"/>
  <c r="H46" i="3"/>
  <c r="AN91" i="4"/>
  <c r="AN59" i="4"/>
  <c r="T46" i="1"/>
  <c r="AN76" i="4"/>
  <c r="AN7" i="4"/>
  <c r="AN37" i="4"/>
  <c r="T39" i="1"/>
  <c r="AN19" i="4"/>
  <c r="H54" i="3"/>
  <c r="AN36" i="4"/>
  <c r="AN82" i="4"/>
  <c r="AN93" i="4"/>
  <c r="H60" i="3"/>
  <c r="T17" i="1"/>
  <c r="T20" i="1"/>
  <c r="H49" i="3"/>
  <c r="T91" i="1"/>
  <c r="Q95" i="1"/>
  <c r="T63" i="1"/>
  <c r="AN34" i="4"/>
  <c r="AN23" i="4"/>
  <c r="AN48" i="4"/>
  <c r="AN58" i="4"/>
  <c r="AM96" i="4"/>
  <c r="AN94" i="4"/>
  <c r="AN90" i="4"/>
  <c r="AN88" i="4"/>
  <c r="AN84" i="4"/>
  <c r="AN24" i="4"/>
  <c r="AN42" i="4"/>
  <c r="AN16" i="4"/>
  <c r="AN62" i="4"/>
  <c r="AN60" i="4"/>
  <c r="AN18" i="4"/>
  <c r="AN26" i="4"/>
  <c r="AN72" i="4"/>
  <c r="AN80" i="4"/>
  <c r="AN8" i="4"/>
  <c r="AN78" i="4"/>
  <c r="AN47" i="4"/>
  <c r="AL96" i="4"/>
  <c r="AN4" i="4"/>
  <c r="AN40" i="4"/>
  <c r="AN74" i="4"/>
  <c r="AN38" i="4"/>
  <c r="AN56" i="4"/>
  <c r="AN30" i="4"/>
  <c r="AN92" i="4"/>
  <c r="AN46" i="4"/>
  <c r="AN66" i="4"/>
  <c r="AN28" i="4"/>
  <c r="AN50" i="4"/>
  <c r="F59" i="3"/>
  <c r="F58" i="3"/>
  <c r="H56" i="3"/>
  <c r="F48" i="3"/>
  <c r="F51" i="3"/>
  <c r="H31" i="3"/>
  <c r="E31" i="3" s="1"/>
  <c r="F62" i="3"/>
  <c r="G24" i="3"/>
  <c r="F54" i="3"/>
  <c r="F47" i="3"/>
  <c r="F63" i="3"/>
  <c r="F61" i="3"/>
  <c r="F53" i="3"/>
  <c r="F52" i="3"/>
  <c r="H58" i="3"/>
  <c r="F50" i="3"/>
  <c r="F46" i="3"/>
  <c r="F57" i="3"/>
  <c r="H61" i="3"/>
  <c r="H57" i="3"/>
  <c r="I64" i="3"/>
  <c r="J62" i="3" s="1"/>
  <c r="H50" i="3"/>
  <c r="H52" i="3"/>
  <c r="H42" i="3"/>
  <c r="F64" i="3"/>
  <c r="F49" i="3"/>
  <c r="F55" i="3"/>
  <c r="E24" i="3"/>
  <c r="Q22" i="2"/>
  <c r="R4" i="2"/>
  <c r="R22" i="2" s="1"/>
  <c r="L22" i="2"/>
  <c r="S95" i="1"/>
  <c r="N95" i="1"/>
  <c r="T55" i="1"/>
  <c r="T23" i="1"/>
  <c r="T8" i="1"/>
  <c r="T92" i="1"/>
  <c r="T34" i="1"/>
  <c r="T19" i="1"/>
  <c r="T14" i="1"/>
  <c r="T24" i="1"/>
  <c r="H95" i="1"/>
  <c r="T45" i="1"/>
  <c r="G31" i="3" l="1"/>
  <c r="T95" i="1"/>
  <c r="AN96" i="4"/>
  <c r="I41" i="3"/>
  <c r="I36" i="3"/>
  <c r="I39" i="3"/>
  <c r="I40" i="3"/>
  <c r="I37" i="3"/>
  <c r="I35" i="3"/>
  <c r="J64" i="3"/>
  <c r="J56" i="3"/>
  <c r="J59" i="3"/>
  <c r="J49" i="3"/>
  <c r="J53" i="3"/>
  <c r="J52" i="3"/>
  <c r="J48" i="3"/>
  <c r="J60" i="3"/>
  <c r="J61" i="3"/>
  <c r="J63" i="3"/>
  <c r="J55" i="3"/>
  <c r="J51" i="3"/>
  <c r="J47" i="3"/>
  <c r="J57" i="3"/>
  <c r="J46" i="3"/>
  <c r="J50" i="3"/>
  <c r="J58" i="3"/>
  <c r="I38" i="3"/>
  <c r="J54" i="3"/>
</calcChain>
</file>

<file path=xl/sharedStrings.xml><?xml version="1.0" encoding="utf-8"?>
<sst xmlns="http://schemas.openxmlformats.org/spreadsheetml/2006/main" count="176" uniqueCount="70">
  <si>
    <t>Population summary by district (Gender and age groups) 2025</t>
  </si>
  <si>
    <t>S/N</t>
  </si>
  <si>
    <t>State</t>
  </si>
  <si>
    <t>Region</t>
  </si>
  <si>
    <t>District</t>
  </si>
  <si>
    <t>P_Code</t>
  </si>
  <si>
    <t>&lt;5 Male</t>
  </si>
  <si>
    <t>&lt;5 Female</t>
  </si>
  <si>
    <t>&lt;5 Total</t>
  </si>
  <si>
    <t>5-17 Male</t>
  </si>
  <si>
    <t>5-17 Female</t>
  </si>
  <si>
    <t>50-17 Total</t>
  </si>
  <si>
    <t>18-59 Male</t>
  </si>
  <si>
    <t>18-59 Female</t>
  </si>
  <si>
    <t>18-59 Total</t>
  </si>
  <si>
    <t>60+ Male</t>
  </si>
  <si>
    <t>60+ Female</t>
  </si>
  <si>
    <t>60+ Total</t>
  </si>
  <si>
    <t>Male Total</t>
  </si>
  <si>
    <t>Female Total</t>
  </si>
  <si>
    <t>Total</t>
  </si>
  <si>
    <t>Population summary by region (Gender and age groups) 2025</t>
  </si>
  <si>
    <t>Banadir</t>
  </si>
  <si>
    <t xml:space="preserve">Galmudug  </t>
  </si>
  <si>
    <t>Galgaduud</t>
  </si>
  <si>
    <t>Mudug</t>
  </si>
  <si>
    <t xml:space="preserve">Hirshabelle  </t>
  </si>
  <si>
    <t>Hiraan</t>
  </si>
  <si>
    <t>Middle Shabelle</t>
  </si>
  <si>
    <t xml:space="preserve">Jubaland  </t>
  </si>
  <si>
    <t>Gedo</t>
  </si>
  <si>
    <t>Lower Juba</t>
  </si>
  <si>
    <t>Middle Juba</t>
  </si>
  <si>
    <t xml:space="preserve">Puntland  </t>
  </si>
  <si>
    <t>Bari</t>
  </si>
  <si>
    <t>Nugaal</t>
  </si>
  <si>
    <t xml:space="preserve">Somaliland  </t>
  </si>
  <si>
    <t>Awdal</t>
  </si>
  <si>
    <t>Sanaag</t>
  </si>
  <si>
    <t>Sool</t>
  </si>
  <si>
    <t>Togdheer</t>
  </si>
  <si>
    <t>Woqooyi Galbeed</t>
  </si>
  <si>
    <t xml:space="preserve">Southwest  </t>
  </si>
  <si>
    <t>Bakool</t>
  </si>
  <si>
    <t>Bay</t>
  </si>
  <si>
    <t>Lower Shabelle</t>
  </si>
  <si>
    <t>Population summary (National level) 2025</t>
  </si>
  <si>
    <t>Gender</t>
  </si>
  <si>
    <t>Population</t>
  </si>
  <si>
    <t>Gender percentage (National level) 2025</t>
  </si>
  <si>
    <t>Percentage</t>
  </si>
  <si>
    <t>Age and Gender breakdown (National level) 2025</t>
  </si>
  <si>
    <t>Age breakdown</t>
  </si>
  <si>
    <t>Percentage of age and gender breakdown (National level) 2025</t>
  </si>
  <si>
    <t>Percentage of total population</t>
  </si>
  <si>
    <t>Gender ratio for each age group (National level) 2025</t>
  </si>
  <si>
    <t xml:space="preserve">Percentage of  gender within the age group </t>
  </si>
  <si>
    <t>Gender ratio by state  2025</t>
  </si>
  <si>
    <t>% of Male to Total</t>
  </si>
  <si>
    <t>% of Female to Total</t>
  </si>
  <si>
    <t>Percentage of state population compared to total population in the country  2025</t>
  </si>
  <si>
    <t>% of Male population of state to total male</t>
  </si>
  <si>
    <t>% of feale population of state to total female</t>
  </si>
  <si>
    <t>% of  population of state to total population</t>
  </si>
  <si>
    <t>Percentage of region population compared to total population in the country 2025</t>
  </si>
  <si>
    <t>% of Male population of region to total male</t>
  </si>
  <si>
    <t>% of female population of region to total female</t>
  </si>
  <si>
    <t>% of  population of region to total population</t>
  </si>
  <si>
    <t>Population summary by district (Gender and extended age groups) 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</si>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</sst>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3" fontId="0" fillId="3" borderId="5" xfId="0" applyNumberFormat="1" applyFill="1" applyBorder="1"/>
    <xf numFmtId="3" fontId="1" fillId="3" borderId="5" xfId="0" applyNumberFormat="1" applyFont="1" applyFill="1" applyBorder="1"/>
    <xf numFmtId="3" fontId="0" fillId="4" borderId="5" xfId="0" applyNumberFormat="1" applyFill="1" applyBorder="1"/>
    <xf numFmtId="3" fontId="1" fillId="4" borderId="5" xfId="0" applyNumberFormat="1" applyFont="1" applyFill="1" applyBorder="1"/>
    <xf numFmtId="3" fontId="1" fillId="5" borderId="5" xfId="0" applyNumberFormat="1" applyFont="1" applyFill="1" applyBorder="1"/>
    <xf numFmtId="3" fontId="1" fillId="5" borderId="6" xfId="0" applyNumberFormat="1" applyFont="1" applyFill="1" applyBorder="1"/>
    <xf numFmtId="0" fontId="1" fillId="0" borderId="10" xfId="0" applyFont="1" applyBorder="1" applyAlignment="1">
      <alignment horizontal="left"/>
    </xf>
    <xf numFmtId="3" fontId="1" fillId="3" borderId="10" xfId="0" applyNumberFormat="1" applyFont="1" applyFill="1" applyBorder="1"/>
    <xf numFmtId="3" fontId="1" fillId="4" borderId="10" xfId="0" applyNumberFormat="1" applyFont="1" applyFill="1" applyBorder="1"/>
    <xf numFmtId="3" fontId="1" fillId="5" borderId="10" xfId="0" applyNumberFormat="1" applyFont="1" applyFill="1" applyBorder="1"/>
    <xf numFmtId="3" fontId="1" fillId="5" borderId="11" xfId="0" applyNumberFormat="1" applyFont="1" applyFill="1" applyBorder="1"/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/>
    </xf>
    <xf numFmtId="0" fontId="1" fillId="0" borderId="12" xfId="0" applyFont="1" applyBorder="1"/>
    <xf numFmtId="0" fontId="1" fillId="0" borderId="10" xfId="0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0" fontId="0" fillId="0" borderId="13" xfId="0" applyBorder="1"/>
    <xf numFmtId="0" fontId="1" fillId="5" borderId="1" xfId="0" applyFont="1" applyFill="1" applyBorder="1" applyAlignment="1">
      <alignment wrapText="1"/>
    </xf>
    <xf numFmtId="0" fontId="1" fillId="0" borderId="0" xfId="0" applyFont="1"/>
    <xf numFmtId="3" fontId="1" fillId="0" borderId="0" xfId="0" applyNumberFormat="1" applyFont="1"/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2" borderId="14" xfId="0" applyFont="1" applyFill="1" applyBorder="1" applyAlignment="1">
      <alignment wrapText="1"/>
    </xf>
    <xf numFmtId="0" fontId="1" fillId="3" borderId="15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3" borderId="17" xfId="0" applyFont="1" applyFill="1" applyBorder="1" applyAlignment="1">
      <alignment wrapText="1"/>
    </xf>
    <xf numFmtId="0" fontId="1" fillId="4" borderId="15" xfId="0" applyFont="1" applyFill="1" applyBorder="1" applyAlignment="1">
      <alignment wrapText="1"/>
    </xf>
    <xf numFmtId="0" fontId="1" fillId="4" borderId="16" xfId="0" applyFont="1" applyFill="1" applyBorder="1" applyAlignment="1">
      <alignment wrapText="1"/>
    </xf>
    <xf numFmtId="0" fontId="1" fillId="4" borderId="17" xfId="0" applyFont="1" applyFill="1" applyBorder="1" applyAlignment="1">
      <alignment wrapText="1"/>
    </xf>
    <xf numFmtId="0" fontId="1" fillId="0" borderId="7" xfId="0" applyFont="1" applyBorder="1" applyAlignment="1">
      <alignment horizontal="center"/>
    </xf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0" fontId="1" fillId="0" borderId="0" xfId="0" applyFont="1" applyAlignment="1">
      <alignment horizontal="center"/>
    </xf>
    <xf numFmtId="0" fontId="1" fillId="2" borderId="15" xfId="0" applyFont="1" applyFill="1" applyBorder="1" applyAlignment="1">
      <alignment wrapText="1"/>
    </xf>
    <xf numFmtId="0" fontId="1" fillId="0" borderId="18" xfId="0" applyFont="1" applyBorder="1" applyAlignment="1">
      <alignment horizontal="center" wrapText="1"/>
    </xf>
    <xf numFmtId="164" fontId="1" fillId="0" borderId="19" xfId="0" applyNumberFormat="1" applyFont="1" applyBorder="1"/>
    <xf numFmtId="164" fontId="1" fillId="0" borderId="20" xfId="0" applyNumberFormat="1" applyFont="1" applyBorder="1"/>
    <xf numFmtId="0" fontId="1" fillId="0" borderId="0" xfId="0" applyFont="1" applyAlignment="1">
      <alignment horizontal="center" wrapText="1"/>
    </xf>
    <xf numFmtId="164" fontId="1" fillId="0" borderId="0" xfId="0" applyNumberFormat="1" applyFont="1"/>
    <xf numFmtId="0" fontId="1" fillId="4" borderId="21" xfId="0" applyFont="1" applyFill="1" applyBorder="1" applyAlignment="1">
      <alignment wrapText="1"/>
    </xf>
    <xf numFmtId="0" fontId="1" fillId="4" borderId="22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164" fontId="1" fillId="0" borderId="18" xfId="0" applyNumberFormat="1" applyFont="1" applyBorder="1"/>
    <xf numFmtId="164" fontId="1" fillId="0" borderId="9" xfId="0" applyNumberFormat="1" applyFont="1" applyBorder="1"/>
    <xf numFmtId="164" fontId="1" fillId="0" borderId="23" xfId="0" applyNumberFormat="1" applyFont="1" applyBorder="1"/>
    <xf numFmtId="0" fontId="0" fillId="2" borderId="21" xfId="0" applyFill="1" applyBorder="1" applyAlignment="1">
      <alignment wrapText="1"/>
    </xf>
    <xf numFmtId="0" fontId="0" fillId="0" borderId="24" xfId="0" applyBorder="1"/>
    <xf numFmtId="3" fontId="1" fillId="0" borderId="5" xfId="0" applyNumberFormat="1" applyFont="1" applyBorder="1"/>
    <xf numFmtId="164" fontId="1" fillId="0" borderId="5" xfId="0" applyNumberFormat="1" applyFont="1" applyBorder="1"/>
    <xf numFmtId="3" fontId="1" fillId="0" borderId="6" xfId="0" applyNumberFormat="1" applyFont="1" applyBorder="1"/>
    <xf numFmtId="164" fontId="1" fillId="0" borderId="6" xfId="0" applyNumberFormat="1" applyFont="1" applyBorder="1"/>
    <xf numFmtId="0" fontId="0" fillId="0" borderId="11" xfId="0" applyBorder="1"/>
    <xf numFmtId="0" fontId="0" fillId="0" borderId="25" xfId="0" applyBorder="1"/>
    <xf numFmtId="0" fontId="0" fillId="0" borderId="26" xfId="0" applyBorder="1"/>
    <xf numFmtId="165" fontId="0" fillId="0" borderId="26" xfId="0" applyNumberFormat="1" applyBorder="1"/>
    <xf numFmtId="3" fontId="3" fillId="4" borderId="1" xfId="0" applyNumberFormat="1" applyFont="1" applyFill="1" applyBorder="1"/>
    <xf numFmtId="3" fontId="3" fillId="4" borderId="2" xfId="0" applyNumberFormat="1" applyFont="1" applyFill="1" applyBorder="1"/>
    <xf numFmtId="3" fontId="3" fillId="4" borderId="3" xfId="0" applyNumberFormat="1" applyFont="1" applyFill="1" applyBorder="1"/>
    <xf numFmtId="0" fontId="3" fillId="0" borderId="0" xfId="0" applyFont="1"/>
    <xf numFmtId="3" fontId="4" fillId="0" borderId="4" xfId="0" applyNumberFormat="1" applyFont="1" applyBorder="1"/>
    <xf numFmtId="3" fontId="4" fillId="0" borderId="5" xfId="0" applyNumberFormat="1" applyFont="1" applyBorder="1"/>
    <xf numFmtId="3" fontId="4" fillId="3" borderId="5" xfId="0" applyNumberFormat="1" applyFont="1" applyFill="1" applyBorder="1"/>
    <xf numFmtId="3" fontId="4" fillId="2" borderId="5" xfId="0" applyNumberFormat="1" applyFont="1" applyFill="1" applyBorder="1"/>
    <xf numFmtId="3" fontId="3" fillId="5" borderId="5" xfId="0" applyNumberFormat="1" applyFont="1" applyFill="1" applyBorder="1"/>
    <xf numFmtId="3" fontId="3" fillId="5" borderId="6" xfId="0" applyNumberFormat="1" applyFont="1" applyFill="1" applyBorder="1"/>
    <xf numFmtId="165" fontId="0" fillId="0" borderId="0" xfId="0" applyNumberFormat="1"/>
    <xf numFmtId="3" fontId="0" fillId="0" borderId="4" xfId="0" applyNumberFormat="1" applyBorder="1"/>
    <xf numFmtId="3" fontId="0" fillId="0" borderId="5" xfId="0" applyNumberFormat="1" applyBorder="1"/>
    <xf numFmtId="3" fontId="0" fillId="2" borderId="5" xfId="0" applyNumberFormat="1" applyFill="1" applyBorder="1"/>
    <xf numFmtId="3" fontId="0" fillId="0" borderId="6" xfId="0" applyNumberFormat="1" applyBorder="1"/>
    <xf numFmtId="3" fontId="1" fillId="2" borderId="10" xfId="0" applyNumberFormat="1" applyFont="1" applyFill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tednations.sharepoint.com/sites/OCHASomalia/IMU/03-%20Data%20Mgmt%20&amp;%20Coord/05-%20Population%20Data/CODs_working_file_Population_Data_v7.2.xlsx" TargetMode="External"/><Relationship Id="rId1" Type="http://schemas.openxmlformats.org/officeDocument/2006/relationships/externalLinkPath" Target="https://unitednations.sharepoint.com/sites/OCHASomalia/IMU/03-%20Data%20Mgmt%20&amp;%20Coord/05-%20Population%20Data/CODs_working_file_Population_Data_v7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lation_file Updated"/>
      <sheetName val="Population_file"/>
      <sheetName val="Banadir R"/>
      <sheetName val="All age Groups"/>
      <sheetName val="All AG District_F"/>
      <sheetName val="HPC age groups"/>
      <sheetName val="HPC AG N"/>
      <sheetName val="District_F"/>
      <sheetName val="Region_F"/>
      <sheetName val="State_F"/>
      <sheetName val="National_F"/>
    </sheetNames>
    <sheetDataSet>
      <sheetData sheetId="0"/>
      <sheetData sheetId="1"/>
      <sheetData sheetId="2"/>
      <sheetData sheetId="3">
        <row r="3">
          <cell r="C3" t="str">
            <v>Polio State</v>
          </cell>
          <cell r="D3" t="str">
            <v>Polio Region</v>
          </cell>
          <cell r="E3" t="str">
            <v>OCHA CODs</v>
          </cell>
          <cell r="I3" t="str">
            <v>&lt;5 Male</v>
          </cell>
          <cell r="J3" t="str">
            <v>&lt;5 Female</v>
          </cell>
          <cell r="K3" t="str">
            <v>5-9 Male</v>
          </cell>
          <cell r="L3" t="str">
            <v>5-9 female</v>
          </cell>
          <cell r="M3" t="str">
            <v>10-14 Male</v>
          </cell>
          <cell r="N3" t="str">
            <v>10-14 Female</v>
          </cell>
          <cell r="O3" t="str">
            <v xml:space="preserve">15-19 Male </v>
          </cell>
          <cell r="P3" t="str">
            <v xml:space="preserve">15-19 Female </v>
          </cell>
          <cell r="Q3" t="str">
            <v>20-24 Male</v>
          </cell>
          <cell r="R3" t="str">
            <v>20-24 Female</v>
          </cell>
          <cell r="S3" t="str">
            <v>25-29 Male</v>
          </cell>
          <cell r="T3" t="str">
            <v>25-29Female</v>
          </cell>
          <cell r="U3" t="str">
            <v>30-34 Male</v>
          </cell>
          <cell r="V3" t="str">
            <v>30-34 Female</v>
          </cell>
          <cell r="W3" t="str">
            <v>35-39 Male</v>
          </cell>
          <cell r="X3" t="str">
            <v>35-39 Female</v>
          </cell>
          <cell r="Y3" t="str">
            <v>40-44 Male</v>
          </cell>
          <cell r="Z3" t="str">
            <v>40-44 Female</v>
          </cell>
          <cell r="AA3" t="str">
            <v>45-49 Male</v>
          </cell>
          <cell r="AB3" t="str">
            <v>45-49 Female</v>
          </cell>
          <cell r="AC3" t="str">
            <v>50-54 Male</v>
          </cell>
          <cell r="AD3" t="str">
            <v>50-54 Female</v>
          </cell>
          <cell r="AE3" t="str">
            <v>55-59 Male</v>
          </cell>
          <cell r="AF3" t="str">
            <v>55-59 Female</v>
          </cell>
          <cell r="AG3" t="str">
            <v>60-64 Male</v>
          </cell>
          <cell r="AH3" t="str">
            <v>60-64 Female</v>
          </cell>
          <cell r="AI3" t="str">
            <v>65-69 Male</v>
          </cell>
          <cell r="AJ3" t="str">
            <v>65-69 Female</v>
          </cell>
          <cell r="AK3" t="str">
            <v>70-74 Male</v>
          </cell>
          <cell r="AL3" t="str">
            <v>70-74 Female</v>
          </cell>
          <cell r="AM3" t="str">
            <v>75-79 Male</v>
          </cell>
          <cell r="AN3" t="str">
            <v>75-79 Female</v>
          </cell>
          <cell r="AO3" t="str">
            <v>80+ Male</v>
          </cell>
          <cell r="AP3" t="str">
            <v>80+ Female</v>
          </cell>
        </row>
        <row r="4">
          <cell r="C4" t="str">
            <v xml:space="preserve">Banadir  </v>
          </cell>
          <cell r="D4" t="str">
            <v>Banadir</v>
          </cell>
          <cell r="E4" t="str">
            <v>Bondhere</v>
          </cell>
          <cell r="I4">
            <v>6452</v>
          </cell>
          <cell r="J4">
            <v>5972</v>
          </cell>
          <cell r="K4">
            <v>6315</v>
          </cell>
          <cell r="L4">
            <v>5972</v>
          </cell>
          <cell r="M4">
            <v>5629</v>
          </cell>
          <cell r="N4">
            <v>5629</v>
          </cell>
          <cell r="O4">
            <v>4050</v>
          </cell>
          <cell r="P4">
            <v>4015</v>
          </cell>
          <cell r="Q4">
            <v>2643</v>
          </cell>
          <cell r="R4">
            <v>2574</v>
          </cell>
          <cell r="S4">
            <v>1819</v>
          </cell>
          <cell r="T4">
            <v>2402</v>
          </cell>
          <cell r="U4">
            <v>1407</v>
          </cell>
          <cell r="V4">
            <v>1682</v>
          </cell>
          <cell r="W4">
            <v>1270</v>
          </cell>
          <cell r="X4">
            <v>1373</v>
          </cell>
          <cell r="Y4">
            <v>1030</v>
          </cell>
          <cell r="Z4">
            <v>789</v>
          </cell>
          <cell r="AA4">
            <v>549</v>
          </cell>
          <cell r="AB4">
            <v>515</v>
          </cell>
          <cell r="AC4">
            <v>755</v>
          </cell>
          <cell r="AD4">
            <v>1441</v>
          </cell>
          <cell r="AE4">
            <v>480</v>
          </cell>
          <cell r="AF4">
            <v>446</v>
          </cell>
          <cell r="AG4">
            <v>755</v>
          </cell>
          <cell r="AH4">
            <v>583</v>
          </cell>
          <cell r="AI4">
            <v>240</v>
          </cell>
          <cell r="AJ4">
            <v>206</v>
          </cell>
          <cell r="AK4">
            <v>343</v>
          </cell>
          <cell r="AL4">
            <v>412</v>
          </cell>
          <cell r="AM4">
            <v>103</v>
          </cell>
          <cell r="AN4">
            <v>103</v>
          </cell>
          <cell r="AO4">
            <v>172</v>
          </cell>
          <cell r="AP4">
            <v>309</v>
          </cell>
        </row>
        <row r="5">
          <cell r="C5" t="str">
            <v xml:space="preserve">Banadir  </v>
          </cell>
          <cell r="D5" t="str">
            <v>Banadir</v>
          </cell>
          <cell r="E5" t="str">
            <v>Cabdulasis</v>
          </cell>
          <cell r="I5">
            <v>1512</v>
          </cell>
          <cell r="J5">
            <v>1400</v>
          </cell>
          <cell r="K5">
            <v>1480</v>
          </cell>
          <cell r="L5">
            <v>1400</v>
          </cell>
          <cell r="M5">
            <v>1319</v>
          </cell>
          <cell r="N5">
            <v>1319</v>
          </cell>
          <cell r="O5">
            <v>949</v>
          </cell>
          <cell r="P5">
            <v>941</v>
          </cell>
          <cell r="Q5">
            <v>619</v>
          </cell>
          <cell r="R5">
            <v>603</v>
          </cell>
          <cell r="S5">
            <v>426</v>
          </cell>
          <cell r="T5">
            <v>563</v>
          </cell>
          <cell r="U5">
            <v>330</v>
          </cell>
          <cell r="V5">
            <v>394</v>
          </cell>
          <cell r="W5">
            <v>298</v>
          </cell>
          <cell r="X5">
            <v>322</v>
          </cell>
          <cell r="Y5">
            <v>241</v>
          </cell>
          <cell r="Z5">
            <v>185</v>
          </cell>
          <cell r="AA5">
            <v>129</v>
          </cell>
          <cell r="AB5">
            <v>121</v>
          </cell>
          <cell r="AC5">
            <v>177</v>
          </cell>
          <cell r="AD5">
            <v>338</v>
          </cell>
          <cell r="AE5">
            <v>113</v>
          </cell>
          <cell r="AF5">
            <v>105</v>
          </cell>
          <cell r="AG5">
            <v>177</v>
          </cell>
          <cell r="AH5">
            <v>137</v>
          </cell>
          <cell r="AI5">
            <v>56</v>
          </cell>
          <cell r="AJ5">
            <v>48</v>
          </cell>
          <cell r="AK5">
            <v>80</v>
          </cell>
          <cell r="AL5">
            <v>97</v>
          </cell>
          <cell r="AM5">
            <v>24</v>
          </cell>
          <cell r="AN5">
            <v>24</v>
          </cell>
          <cell r="AO5">
            <v>40</v>
          </cell>
          <cell r="AP5">
            <v>72</v>
          </cell>
        </row>
        <row r="6">
          <cell r="C6" t="str">
            <v xml:space="preserve">Banadir  </v>
          </cell>
          <cell r="D6" t="str">
            <v>Banadir</v>
          </cell>
          <cell r="E6" t="str">
            <v>Daynile</v>
          </cell>
          <cell r="I6">
            <v>68635</v>
          </cell>
          <cell r="J6">
            <v>63524</v>
          </cell>
          <cell r="K6">
            <v>67175</v>
          </cell>
          <cell r="L6">
            <v>63524</v>
          </cell>
          <cell r="M6">
            <v>59873</v>
          </cell>
          <cell r="N6">
            <v>59873</v>
          </cell>
          <cell r="O6">
            <v>43079</v>
          </cell>
          <cell r="P6">
            <v>42714</v>
          </cell>
          <cell r="Q6">
            <v>28111</v>
          </cell>
          <cell r="R6">
            <v>27381</v>
          </cell>
          <cell r="S6">
            <v>19349</v>
          </cell>
          <cell r="T6">
            <v>25556</v>
          </cell>
          <cell r="U6">
            <v>14968</v>
          </cell>
          <cell r="V6">
            <v>17889</v>
          </cell>
          <cell r="W6">
            <v>13508</v>
          </cell>
          <cell r="X6">
            <v>14603</v>
          </cell>
          <cell r="Y6">
            <v>10952</v>
          </cell>
          <cell r="Z6">
            <v>8397</v>
          </cell>
          <cell r="AA6">
            <v>5841</v>
          </cell>
          <cell r="AB6">
            <v>5476</v>
          </cell>
          <cell r="AC6">
            <v>8032</v>
          </cell>
          <cell r="AD6">
            <v>15333</v>
          </cell>
          <cell r="AE6">
            <v>5111</v>
          </cell>
          <cell r="AF6">
            <v>4746</v>
          </cell>
          <cell r="AG6">
            <v>8032</v>
          </cell>
          <cell r="AH6">
            <v>6206</v>
          </cell>
          <cell r="AI6">
            <v>2556</v>
          </cell>
          <cell r="AJ6">
            <v>2190</v>
          </cell>
          <cell r="AK6">
            <v>3651</v>
          </cell>
          <cell r="AL6">
            <v>4381</v>
          </cell>
          <cell r="AM6">
            <v>1095</v>
          </cell>
          <cell r="AN6">
            <v>1095</v>
          </cell>
          <cell r="AO6">
            <v>1825</v>
          </cell>
          <cell r="AP6">
            <v>3286</v>
          </cell>
        </row>
        <row r="7">
          <cell r="C7" t="str">
            <v xml:space="preserve">Banadir  </v>
          </cell>
          <cell r="D7" t="str">
            <v>Banadir</v>
          </cell>
          <cell r="E7" t="str">
            <v>Dharkenley</v>
          </cell>
          <cell r="I7">
            <v>10480</v>
          </cell>
          <cell r="J7">
            <v>9700</v>
          </cell>
          <cell r="K7">
            <v>10257</v>
          </cell>
          <cell r="L7">
            <v>9700</v>
          </cell>
          <cell r="M7">
            <v>9142</v>
          </cell>
          <cell r="N7">
            <v>9142</v>
          </cell>
          <cell r="O7">
            <v>6578</v>
          </cell>
          <cell r="P7">
            <v>6522</v>
          </cell>
          <cell r="Q7">
            <v>4292</v>
          </cell>
          <cell r="R7">
            <v>4181</v>
          </cell>
          <cell r="S7">
            <v>2954</v>
          </cell>
          <cell r="T7">
            <v>3902</v>
          </cell>
          <cell r="U7">
            <v>2286</v>
          </cell>
          <cell r="V7">
            <v>2731</v>
          </cell>
          <cell r="W7">
            <v>2063</v>
          </cell>
          <cell r="X7">
            <v>2230</v>
          </cell>
          <cell r="Y7">
            <v>1672</v>
          </cell>
          <cell r="Z7">
            <v>1282</v>
          </cell>
          <cell r="AA7">
            <v>892</v>
          </cell>
          <cell r="AB7">
            <v>836</v>
          </cell>
          <cell r="AC7">
            <v>1226</v>
          </cell>
          <cell r="AD7">
            <v>2341</v>
          </cell>
          <cell r="AE7">
            <v>780</v>
          </cell>
          <cell r="AF7">
            <v>725</v>
          </cell>
          <cell r="AG7">
            <v>1226</v>
          </cell>
          <cell r="AH7">
            <v>948</v>
          </cell>
          <cell r="AI7">
            <v>390</v>
          </cell>
          <cell r="AJ7">
            <v>334</v>
          </cell>
          <cell r="AK7">
            <v>557</v>
          </cell>
          <cell r="AL7">
            <v>669</v>
          </cell>
          <cell r="AM7">
            <v>167</v>
          </cell>
          <cell r="AN7">
            <v>167</v>
          </cell>
          <cell r="AO7">
            <v>279</v>
          </cell>
          <cell r="AP7">
            <v>502</v>
          </cell>
        </row>
        <row r="8">
          <cell r="C8" t="str">
            <v xml:space="preserve">Banadir  </v>
          </cell>
          <cell r="D8" t="str">
            <v>Banadir</v>
          </cell>
          <cell r="E8" t="str">
            <v>Hamar Jabjab</v>
          </cell>
          <cell r="I8">
            <v>4540</v>
          </cell>
          <cell r="J8">
            <v>4202</v>
          </cell>
          <cell r="K8">
            <v>4443</v>
          </cell>
          <cell r="L8">
            <v>4202</v>
          </cell>
          <cell r="M8">
            <v>3960</v>
          </cell>
          <cell r="N8">
            <v>3960</v>
          </cell>
          <cell r="O8">
            <v>2850</v>
          </cell>
          <cell r="P8">
            <v>2825</v>
          </cell>
          <cell r="Q8">
            <v>1859</v>
          </cell>
          <cell r="R8">
            <v>1811</v>
          </cell>
          <cell r="S8">
            <v>1280</v>
          </cell>
          <cell r="T8">
            <v>1690</v>
          </cell>
          <cell r="U8">
            <v>990</v>
          </cell>
          <cell r="V8">
            <v>1183</v>
          </cell>
          <cell r="W8">
            <v>894</v>
          </cell>
          <cell r="X8">
            <v>966</v>
          </cell>
          <cell r="Y8">
            <v>724</v>
          </cell>
          <cell r="Z8">
            <v>555</v>
          </cell>
          <cell r="AA8">
            <v>386</v>
          </cell>
          <cell r="AB8">
            <v>362</v>
          </cell>
          <cell r="AC8">
            <v>531</v>
          </cell>
          <cell r="AD8">
            <v>1014</v>
          </cell>
          <cell r="AE8">
            <v>338</v>
          </cell>
          <cell r="AF8">
            <v>314</v>
          </cell>
          <cell r="AG8">
            <v>531</v>
          </cell>
          <cell r="AH8">
            <v>411</v>
          </cell>
          <cell r="AI8">
            <v>169</v>
          </cell>
          <cell r="AJ8">
            <v>145</v>
          </cell>
          <cell r="AK8">
            <v>241</v>
          </cell>
          <cell r="AL8">
            <v>290</v>
          </cell>
          <cell r="AM8">
            <v>72</v>
          </cell>
          <cell r="AN8">
            <v>72</v>
          </cell>
          <cell r="AO8">
            <v>121</v>
          </cell>
          <cell r="AP8">
            <v>217</v>
          </cell>
        </row>
        <row r="9">
          <cell r="C9" t="str">
            <v xml:space="preserve">Banadir  </v>
          </cell>
          <cell r="D9" t="str">
            <v>Banadir</v>
          </cell>
          <cell r="E9" t="str">
            <v>Hamar Weyne</v>
          </cell>
          <cell r="I9">
            <v>6809</v>
          </cell>
          <cell r="J9">
            <v>6302</v>
          </cell>
          <cell r="K9">
            <v>6664</v>
          </cell>
          <cell r="L9">
            <v>6302</v>
          </cell>
          <cell r="M9">
            <v>5940</v>
          </cell>
          <cell r="N9">
            <v>5940</v>
          </cell>
          <cell r="O9">
            <v>4274</v>
          </cell>
          <cell r="P9">
            <v>4238</v>
          </cell>
          <cell r="Q9">
            <v>2789</v>
          </cell>
          <cell r="R9">
            <v>2716</v>
          </cell>
          <cell r="S9">
            <v>1920</v>
          </cell>
          <cell r="T9">
            <v>2535</v>
          </cell>
          <cell r="U9">
            <v>1485</v>
          </cell>
          <cell r="V9">
            <v>1775</v>
          </cell>
          <cell r="W9">
            <v>1340</v>
          </cell>
          <cell r="X9">
            <v>1449</v>
          </cell>
          <cell r="Y9">
            <v>1087</v>
          </cell>
          <cell r="Z9">
            <v>833</v>
          </cell>
          <cell r="AA9">
            <v>580</v>
          </cell>
          <cell r="AB9">
            <v>543</v>
          </cell>
          <cell r="AC9">
            <v>797</v>
          </cell>
          <cell r="AD9">
            <v>1521</v>
          </cell>
          <cell r="AE9">
            <v>507</v>
          </cell>
          <cell r="AF9">
            <v>471</v>
          </cell>
          <cell r="AG9">
            <v>797</v>
          </cell>
          <cell r="AH9">
            <v>616</v>
          </cell>
          <cell r="AI9">
            <v>254</v>
          </cell>
          <cell r="AJ9">
            <v>217</v>
          </cell>
          <cell r="AK9">
            <v>362</v>
          </cell>
          <cell r="AL9">
            <v>435</v>
          </cell>
          <cell r="AM9">
            <v>109</v>
          </cell>
          <cell r="AN9">
            <v>109</v>
          </cell>
          <cell r="AO9">
            <v>181</v>
          </cell>
          <cell r="AP9">
            <v>326</v>
          </cell>
        </row>
        <row r="10">
          <cell r="C10" t="str">
            <v xml:space="preserve">Banadir  </v>
          </cell>
          <cell r="D10" t="str">
            <v>Banadir</v>
          </cell>
          <cell r="E10" t="str">
            <v>Hawl Wadaag</v>
          </cell>
          <cell r="I10">
            <v>11118</v>
          </cell>
          <cell r="J10">
            <v>10290</v>
          </cell>
          <cell r="K10">
            <v>10881</v>
          </cell>
          <cell r="L10">
            <v>10290</v>
          </cell>
          <cell r="M10">
            <v>9699</v>
          </cell>
          <cell r="N10">
            <v>9699</v>
          </cell>
          <cell r="O10">
            <v>6978</v>
          </cell>
          <cell r="P10">
            <v>6919</v>
          </cell>
          <cell r="Q10">
            <v>4554</v>
          </cell>
          <cell r="R10">
            <v>4435</v>
          </cell>
          <cell r="S10">
            <v>3134</v>
          </cell>
          <cell r="T10">
            <v>4140</v>
          </cell>
          <cell r="U10">
            <v>2425</v>
          </cell>
          <cell r="V10">
            <v>2898</v>
          </cell>
          <cell r="W10">
            <v>2188</v>
          </cell>
          <cell r="X10">
            <v>2366</v>
          </cell>
          <cell r="Y10">
            <v>1774</v>
          </cell>
          <cell r="Z10">
            <v>1360</v>
          </cell>
          <cell r="AA10">
            <v>946</v>
          </cell>
          <cell r="AB10">
            <v>887</v>
          </cell>
          <cell r="AC10">
            <v>1301</v>
          </cell>
          <cell r="AD10">
            <v>2484</v>
          </cell>
          <cell r="AE10">
            <v>828</v>
          </cell>
          <cell r="AF10">
            <v>769</v>
          </cell>
          <cell r="AG10">
            <v>1301</v>
          </cell>
          <cell r="AH10">
            <v>1005</v>
          </cell>
          <cell r="AI10">
            <v>414</v>
          </cell>
          <cell r="AJ10">
            <v>355</v>
          </cell>
          <cell r="AK10">
            <v>591</v>
          </cell>
          <cell r="AL10">
            <v>710</v>
          </cell>
          <cell r="AM10">
            <v>177</v>
          </cell>
          <cell r="AN10">
            <v>177</v>
          </cell>
          <cell r="AO10">
            <v>296</v>
          </cell>
          <cell r="AP10">
            <v>532</v>
          </cell>
        </row>
        <row r="11">
          <cell r="C11" t="str">
            <v xml:space="preserve">Banadir  </v>
          </cell>
          <cell r="D11" t="str">
            <v>Banadir</v>
          </cell>
          <cell r="E11" t="str">
            <v>Heliwa</v>
          </cell>
          <cell r="I11">
            <v>34495</v>
          </cell>
          <cell r="J11">
            <v>31926</v>
          </cell>
          <cell r="K11">
            <v>33761</v>
          </cell>
          <cell r="L11">
            <v>31926</v>
          </cell>
          <cell r="M11">
            <v>30092</v>
          </cell>
          <cell r="N11">
            <v>30092</v>
          </cell>
          <cell r="O11">
            <v>21651</v>
          </cell>
          <cell r="P11">
            <v>21468</v>
          </cell>
          <cell r="Q11">
            <v>14128</v>
          </cell>
          <cell r="R11">
            <v>13761</v>
          </cell>
          <cell r="S11">
            <v>9725</v>
          </cell>
          <cell r="T11">
            <v>12844</v>
          </cell>
          <cell r="U11">
            <v>7523</v>
          </cell>
          <cell r="V11">
            <v>8991</v>
          </cell>
          <cell r="W11">
            <v>6789</v>
          </cell>
          <cell r="X11">
            <v>7339</v>
          </cell>
          <cell r="Y11">
            <v>5505</v>
          </cell>
          <cell r="Z11">
            <v>4220</v>
          </cell>
          <cell r="AA11">
            <v>2936</v>
          </cell>
          <cell r="AB11">
            <v>2752</v>
          </cell>
          <cell r="AC11">
            <v>4037</v>
          </cell>
          <cell r="AD11">
            <v>7706</v>
          </cell>
          <cell r="AE11">
            <v>2569</v>
          </cell>
          <cell r="AF11">
            <v>2385</v>
          </cell>
          <cell r="AG11">
            <v>4037</v>
          </cell>
          <cell r="AH11">
            <v>3119</v>
          </cell>
          <cell r="AI11">
            <v>1284</v>
          </cell>
          <cell r="AJ11">
            <v>1101</v>
          </cell>
          <cell r="AK11">
            <v>1835</v>
          </cell>
          <cell r="AL11">
            <v>2202</v>
          </cell>
          <cell r="AM11">
            <v>550</v>
          </cell>
          <cell r="AN11">
            <v>550</v>
          </cell>
          <cell r="AO11">
            <v>917</v>
          </cell>
          <cell r="AP11">
            <v>1651</v>
          </cell>
        </row>
        <row r="12">
          <cell r="C12" t="str">
            <v xml:space="preserve">Banadir  </v>
          </cell>
          <cell r="D12" t="str">
            <v>Banadir</v>
          </cell>
          <cell r="E12" t="str">
            <v>Hodan</v>
          </cell>
          <cell r="I12">
            <v>10375</v>
          </cell>
          <cell r="J12">
            <v>9602</v>
          </cell>
          <cell r="K12">
            <v>10154</v>
          </cell>
          <cell r="L12">
            <v>9602</v>
          </cell>
          <cell r="M12">
            <v>9050</v>
          </cell>
          <cell r="N12">
            <v>9050</v>
          </cell>
          <cell r="O12">
            <v>6512</v>
          </cell>
          <cell r="P12">
            <v>6457</v>
          </cell>
          <cell r="Q12">
            <v>4249</v>
          </cell>
          <cell r="R12">
            <v>4139</v>
          </cell>
          <cell r="S12">
            <v>2925</v>
          </cell>
          <cell r="T12">
            <v>3863</v>
          </cell>
          <cell r="U12">
            <v>2263</v>
          </cell>
          <cell r="V12">
            <v>2704</v>
          </cell>
          <cell r="W12">
            <v>2042</v>
          </cell>
          <cell r="X12">
            <v>2207</v>
          </cell>
          <cell r="Y12">
            <v>1656</v>
          </cell>
          <cell r="Z12">
            <v>1269</v>
          </cell>
          <cell r="AA12">
            <v>883</v>
          </cell>
          <cell r="AB12">
            <v>828</v>
          </cell>
          <cell r="AC12">
            <v>1214</v>
          </cell>
          <cell r="AD12">
            <v>2318</v>
          </cell>
          <cell r="AE12">
            <v>773</v>
          </cell>
          <cell r="AF12">
            <v>717</v>
          </cell>
          <cell r="AG12">
            <v>1214</v>
          </cell>
          <cell r="AH12">
            <v>938</v>
          </cell>
          <cell r="AI12">
            <v>386</v>
          </cell>
          <cell r="AJ12">
            <v>331</v>
          </cell>
          <cell r="AK12">
            <v>552</v>
          </cell>
          <cell r="AL12">
            <v>662</v>
          </cell>
          <cell r="AM12">
            <v>166</v>
          </cell>
          <cell r="AN12">
            <v>166</v>
          </cell>
          <cell r="AO12">
            <v>276</v>
          </cell>
          <cell r="AP12">
            <v>497</v>
          </cell>
        </row>
        <row r="13">
          <cell r="C13" t="str">
            <v xml:space="preserve">Banadir  </v>
          </cell>
          <cell r="D13" t="str">
            <v>Banadir</v>
          </cell>
          <cell r="E13" t="str">
            <v>Kahda</v>
          </cell>
          <cell r="I13">
            <v>47611</v>
          </cell>
          <cell r="J13">
            <v>44066</v>
          </cell>
          <cell r="K13">
            <v>46598</v>
          </cell>
          <cell r="L13">
            <v>44066</v>
          </cell>
          <cell r="M13">
            <v>41533</v>
          </cell>
          <cell r="N13">
            <v>41533</v>
          </cell>
          <cell r="O13">
            <v>29884</v>
          </cell>
          <cell r="P13">
            <v>29631</v>
          </cell>
          <cell r="Q13">
            <v>19500</v>
          </cell>
          <cell r="R13">
            <v>18994</v>
          </cell>
          <cell r="S13">
            <v>13422</v>
          </cell>
          <cell r="T13">
            <v>17728</v>
          </cell>
          <cell r="U13">
            <v>10383</v>
          </cell>
          <cell r="V13">
            <v>12409</v>
          </cell>
          <cell r="W13">
            <v>9370</v>
          </cell>
          <cell r="X13">
            <v>10130</v>
          </cell>
          <cell r="Y13">
            <v>7598</v>
          </cell>
          <cell r="Z13">
            <v>5825</v>
          </cell>
          <cell r="AA13">
            <v>4052</v>
          </cell>
          <cell r="AB13">
            <v>3799</v>
          </cell>
          <cell r="AC13">
            <v>5572</v>
          </cell>
          <cell r="AD13">
            <v>10637</v>
          </cell>
          <cell r="AE13">
            <v>3546</v>
          </cell>
          <cell r="AF13">
            <v>3292</v>
          </cell>
          <cell r="AG13">
            <v>5572</v>
          </cell>
          <cell r="AH13">
            <v>4305</v>
          </cell>
          <cell r="AI13">
            <v>1773</v>
          </cell>
          <cell r="AJ13">
            <v>1520</v>
          </cell>
          <cell r="AK13">
            <v>2533</v>
          </cell>
          <cell r="AL13">
            <v>3039</v>
          </cell>
          <cell r="AM13">
            <v>760</v>
          </cell>
          <cell r="AN13">
            <v>760</v>
          </cell>
          <cell r="AO13">
            <v>1266</v>
          </cell>
          <cell r="AP13">
            <v>2279</v>
          </cell>
        </row>
        <row r="14">
          <cell r="C14" t="str">
            <v xml:space="preserve">Banadir  </v>
          </cell>
          <cell r="D14" t="str">
            <v>Banadir</v>
          </cell>
          <cell r="E14" t="str">
            <v>Karaan</v>
          </cell>
          <cell r="I14">
            <v>12406</v>
          </cell>
          <cell r="J14">
            <v>11482</v>
          </cell>
          <cell r="K14">
            <v>12142</v>
          </cell>
          <cell r="L14">
            <v>11482</v>
          </cell>
          <cell r="M14">
            <v>10822</v>
          </cell>
          <cell r="N14">
            <v>10822</v>
          </cell>
          <cell r="O14">
            <v>7787</v>
          </cell>
          <cell r="P14">
            <v>7721</v>
          </cell>
          <cell r="Q14">
            <v>5081</v>
          </cell>
          <cell r="R14">
            <v>4949</v>
          </cell>
          <cell r="S14">
            <v>3497</v>
          </cell>
          <cell r="T14">
            <v>4619</v>
          </cell>
          <cell r="U14">
            <v>2706</v>
          </cell>
          <cell r="V14">
            <v>3234</v>
          </cell>
          <cell r="W14">
            <v>2442</v>
          </cell>
          <cell r="X14">
            <v>2640</v>
          </cell>
          <cell r="Y14">
            <v>1980</v>
          </cell>
          <cell r="Z14">
            <v>1518</v>
          </cell>
          <cell r="AA14">
            <v>1056</v>
          </cell>
          <cell r="AB14">
            <v>990</v>
          </cell>
          <cell r="AC14">
            <v>1452</v>
          </cell>
          <cell r="AD14">
            <v>2772</v>
          </cell>
          <cell r="AE14">
            <v>924</v>
          </cell>
          <cell r="AF14">
            <v>858</v>
          </cell>
          <cell r="AG14">
            <v>1452</v>
          </cell>
          <cell r="AH14">
            <v>1122</v>
          </cell>
          <cell r="AI14">
            <v>462</v>
          </cell>
          <cell r="AJ14">
            <v>396</v>
          </cell>
          <cell r="AK14">
            <v>660</v>
          </cell>
          <cell r="AL14">
            <v>792</v>
          </cell>
          <cell r="AM14">
            <v>198</v>
          </cell>
          <cell r="AN14">
            <v>198</v>
          </cell>
          <cell r="AO14">
            <v>330</v>
          </cell>
          <cell r="AP14">
            <v>594</v>
          </cell>
        </row>
        <row r="15">
          <cell r="C15" t="str">
            <v xml:space="preserve">Banadir  </v>
          </cell>
          <cell r="D15" t="str">
            <v>Banadir</v>
          </cell>
          <cell r="E15" t="str">
            <v>Shangaani</v>
          </cell>
          <cell r="I15">
            <v>2579</v>
          </cell>
          <cell r="J15">
            <v>2387</v>
          </cell>
          <cell r="K15">
            <v>2524</v>
          </cell>
          <cell r="L15">
            <v>2387</v>
          </cell>
          <cell r="M15">
            <v>2249</v>
          </cell>
          <cell r="N15">
            <v>2249</v>
          </cell>
          <cell r="O15">
            <v>1618</v>
          </cell>
          <cell r="P15">
            <v>1605</v>
          </cell>
          <cell r="Q15">
            <v>1056</v>
          </cell>
          <cell r="R15">
            <v>1029</v>
          </cell>
          <cell r="S15">
            <v>727</v>
          </cell>
          <cell r="T15">
            <v>960</v>
          </cell>
          <cell r="U15">
            <v>562</v>
          </cell>
          <cell r="V15">
            <v>672</v>
          </cell>
          <cell r="W15">
            <v>507</v>
          </cell>
          <cell r="X15">
            <v>549</v>
          </cell>
          <cell r="Y15">
            <v>411</v>
          </cell>
          <cell r="Z15">
            <v>315</v>
          </cell>
          <cell r="AA15">
            <v>219</v>
          </cell>
          <cell r="AB15">
            <v>206</v>
          </cell>
          <cell r="AC15">
            <v>302</v>
          </cell>
          <cell r="AD15">
            <v>576</v>
          </cell>
          <cell r="AE15">
            <v>192</v>
          </cell>
          <cell r="AF15">
            <v>178</v>
          </cell>
          <cell r="AG15">
            <v>302</v>
          </cell>
          <cell r="AH15">
            <v>233</v>
          </cell>
          <cell r="AI15">
            <v>96</v>
          </cell>
          <cell r="AJ15">
            <v>82</v>
          </cell>
          <cell r="AK15">
            <v>137</v>
          </cell>
          <cell r="AL15">
            <v>165</v>
          </cell>
          <cell r="AM15">
            <v>41</v>
          </cell>
          <cell r="AN15">
            <v>41</v>
          </cell>
          <cell r="AO15">
            <v>69</v>
          </cell>
          <cell r="AP15">
            <v>123</v>
          </cell>
        </row>
        <row r="16">
          <cell r="C16" t="str">
            <v xml:space="preserve">Banadir  </v>
          </cell>
          <cell r="D16" t="str">
            <v>Banadir</v>
          </cell>
          <cell r="E16" t="str">
            <v>Shibis</v>
          </cell>
          <cell r="I16">
            <v>12079</v>
          </cell>
          <cell r="J16">
            <v>11180</v>
          </cell>
          <cell r="K16">
            <v>11822</v>
          </cell>
          <cell r="L16">
            <v>11180</v>
          </cell>
          <cell r="M16">
            <v>10537</v>
          </cell>
          <cell r="N16">
            <v>10537</v>
          </cell>
          <cell r="O16">
            <v>7582</v>
          </cell>
          <cell r="P16">
            <v>7518</v>
          </cell>
          <cell r="Q16">
            <v>4947</v>
          </cell>
          <cell r="R16">
            <v>4819</v>
          </cell>
          <cell r="S16">
            <v>3405</v>
          </cell>
          <cell r="T16">
            <v>4498</v>
          </cell>
          <cell r="U16">
            <v>2634</v>
          </cell>
          <cell r="V16">
            <v>3148</v>
          </cell>
          <cell r="W16">
            <v>2377</v>
          </cell>
          <cell r="X16">
            <v>2570</v>
          </cell>
          <cell r="Y16">
            <v>1928</v>
          </cell>
          <cell r="Z16">
            <v>1478</v>
          </cell>
          <cell r="AA16">
            <v>1028</v>
          </cell>
          <cell r="AB16">
            <v>964</v>
          </cell>
          <cell r="AC16">
            <v>1414</v>
          </cell>
          <cell r="AD16">
            <v>2699</v>
          </cell>
          <cell r="AE16">
            <v>900</v>
          </cell>
          <cell r="AF16">
            <v>835</v>
          </cell>
          <cell r="AG16">
            <v>1414</v>
          </cell>
          <cell r="AH16">
            <v>1092</v>
          </cell>
          <cell r="AI16">
            <v>450</v>
          </cell>
          <cell r="AJ16">
            <v>386</v>
          </cell>
          <cell r="AK16">
            <v>643</v>
          </cell>
          <cell r="AL16">
            <v>771</v>
          </cell>
          <cell r="AM16">
            <v>193</v>
          </cell>
          <cell r="AN16">
            <v>193</v>
          </cell>
          <cell r="AO16">
            <v>321</v>
          </cell>
          <cell r="AP16">
            <v>578</v>
          </cell>
        </row>
        <row r="17">
          <cell r="C17" t="str">
            <v xml:space="preserve">Banadir  </v>
          </cell>
          <cell r="D17" t="str">
            <v>Banadir</v>
          </cell>
          <cell r="E17" t="str">
            <v>Waaberi</v>
          </cell>
          <cell r="I17">
            <v>6468</v>
          </cell>
          <cell r="J17">
            <v>5986</v>
          </cell>
          <cell r="K17">
            <v>6330</v>
          </cell>
          <cell r="L17">
            <v>5986</v>
          </cell>
          <cell r="M17">
            <v>5642</v>
          </cell>
          <cell r="N17">
            <v>5642</v>
          </cell>
          <cell r="O17">
            <v>4060</v>
          </cell>
          <cell r="P17">
            <v>4025</v>
          </cell>
          <cell r="Q17">
            <v>2649</v>
          </cell>
          <cell r="R17">
            <v>2580</v>
          </cell>
          <cell r="S17">
            <v>1823</v>
          </cell>
          <cell r="T17">
            <v>2408</v>
          </cell>
          <cell r="U17">
            <v>1411</v>
          </cell>
          <cell r="V17">
            <v>1686</v>
          </cell>
          <cell r="W17">
            <v>1273</v>
          </cell>
          <cell r="X17">
            <v>1376</v>
          </cell>
          <cell r="Y17">
            <v>1032</v>
          </cell>
          <cell r="Z17">
            <v>791</v>
          </cell>
          <cell r="AA17">
            <v>550</v>
          </cell>
          <cell r="AB17">
            <v>516</v>
          </cell>
          <cell r="AC17">
            <v>757</v>
          </cell>
          <cell r="AD17">
            <v>1445</v>
          </cell>
          <cell r="AE17">
            <v>482</v>
          </cell>
          <cell r="AF17">
            <v>447</v>
          </cell>
          <cell r="AG17">
            <v>757</v>
          </cell>
          <cell r="AH17">
            <v>585</v>
          </cell>
          <cell r="AI17">
            <v>241</v>
          </cell>
          <cell r="AJ17">
            <v>206</v>
          </cell>
          <cell r="AK17">
            <v>344</v>
          </cell>
          <cell r="AL17">
            <v>413</v>
          </cell>
          <cell r="AM17">
            <v>103</v>
          </cell>
          <cell r="AN17">
            <v>103</v>
          </cell>
          <cell r="AO17">
            <v>172</v>
          </cell>
          <cell r="AP17">
            <v>310</v>
          </cell>
        </row>
        <row r="18">
          <cell r="C18" t="str">
            <v xml:space="preserve">Banadir  </v>
          </cell>
          <cell r="D18" t="str">
            <v>Banadir</v>
          </cell>
          <cell r="E18" t="str">
            <v>Wadajir (Medina)</v>
          </cell>
          <cell r="I18">
            <v>52962</v>
          </cell>
          <cell r="J18">
            <v>49018</v>
          </cell>
          <cell r="K18">
            <v>51836</v>
          </cell>
          <cell r="L18">
            <v>49018</v>
          </cell>
          <cell r="M18">
            <v>46201</v>
          </cell>
          <cell r="N18">
            <v>46201</v>
          </cell>
          <cell r="O18">
            <v>33242</v>
          </cell>
          <cell r="P18">
            <v>32961</v>
          </cell>
          <cell r="Q18">
            <v>21692</v>
          </cell>
          <cell r="R18">
            <v>21129</v>
          </cell>
          <cell r="S18">
            <v>14931</v>
          </cell>
          <cell r="T18">
            <v>19720</v>
          </cell>
          <cell r="U18">
            <v>11550</v>
          </cell>
          <cell r="V18">
            <v>13804</v>
          </cell>
          <cell r="W18">
            <v>10423</v>
          </cell>
          <cell r="X18">
            <v>11269</v>
          </cell>
          <cell r="Y18">
            <v>8451</v>
          </cell>
          <cell r="Z18">
            <v>6479</v>
          </cell>
          <cell r="AA18">
            <v>4507</v>
          </cell>
          <cell r="AB18">
            <v>4226</v>
          </cell>
          <cell r="AC18">
            <v>6198</v>
          </cell>
          <cell r="AD18">
            <v>11832</v>
          </cell>
          <cell r="AE18">
            <v>3944</v>
          </cell>
          <cell r="AF18">
            <v>3662</v>
          </cell>
          <cell r="AG18">
            <v>6198</v>
          </cell>
          <cell r="AH18">
            <v>4789</v>
          </cell>
          <cell r="AI18">
            <v>1972</v>
          </cell>
          <cell r="AJ18">
            <v>1690</v>
          </cell>
          <cell r="AK18">
            <v>2817</v>
          </cell>
          <cell r="AL18">
            <v>3381</v>
          </cell>
          <cell r="AM18">
            <v>845</v>
          </cell>
          <cell r="AN18">
            <v>845</v>
          </cell>
          <cell r="AO18">
            <v>1409</v>
          </cell>
          <cell r="AP18">
            <v>2535</v>
          </cell>
        </row>
        <row r="19">
          <cell r="C19" t="str">
            <v xml:space="preserve">Banadir  </v>
          </cell>
          <cell r="D19" t="str">
            <v>Banadir</v>
          </cell>
          <cell r="E19" t="str">
            <v>Wardhigley</v>
          </cell>
          <cell r="I19">
            <v>10898</v>
          </cell>
          <cell r="J19">
            <v>10086</v>
          </cell>
          <cell r="K19">
            <v>10666</v>
          </cell>
          <cell r="L19">
            <v>10086</v>
          </cell>
          <cell r="M19">
            <v>9507</v>
          </cell>
          <cell r="N19">
            <v>9507</v>
          </cell>
          <cell r="O19">
            <v>6840</v>
          </cell>
          <cell r="P19">
            <v>6782</v>
          </cell>
          <cell r="Q19">
            <v>4463</v>
          </cell>
          <cell r="R19">
            <v>4348</v>
          </cell>
          <cell r="S19">
            <v>3072</v>
          </cell>
          <cell r="T19">
            <v>4058</v>
          </cell>
          <cell r="U19">
            <v>2377</v>
          </cell>
          <cell r="V19">
            <v>2840</v>
          </cell>
          <cell r="W19">
            <v>2145</v>
          </cell>
          <cell r="X19">
            <v>2319</v>
          </cell>
          <cell r="Y19">
            <v>1739</v>
          </cell>
          <cell r="Z19">
            <v>1333</v>
          </cell>
          <cell r="AA19">
            <v>927</v>
          </cell>
          <cell r="AB19">
            <v>870</v>
          </cell>
          <cell r="AC19">
            <v>1275</v>
          </cell>
          <cell r="AD19">
            <v>2435</v>
          </cell>
          <cell r="AE19">
            <v>812</v>
          </cell>
          <cell r="AF19">
            <v>754</v>
          </cell>
          <cell r="AG19">
            <v>1275</v>
          </cell>
          <cell r="AH19">
            <v>985</v>
          </cell>
          <cell r="AI19">
            <v>406</v>
          </cell>
          <cell r="AJ19">
            <v>348</v>
          </cell>
          <cell r="AK19">
            <v>580</v>
          </cell>
          <cell r="AL19">
            <v>696</v>
          </cell>
          <cell r="AM19">
            <v>174</v>
          </cell>
          <cell r="AN19">
            <v>174</v>
          </cell>
          <cell r="AO19">
            <v>290</v>
          </cell>
          <cell r="AP19">
            <v>522</v>
          </cell>
        </row>
        <row r="20">
          <cell r="C20" t="str">
            <v xml:space="preserve">Banadir  </v>
          </cell>
          <cell r="D20" t="str">
            <v>Banadir</v>
          </cell>
          <cell r="E20" t="str">
            <v>Yaaqshid</v>
          </cell>
          <cell r="I20">
            <v>8143</v>
          </cell>
          <cell r="J20">
            <v>7537</v>
          </cell>
          <cell r="K20">
            <v>7970</v>
          </cell>
          <cell r="L20">
            <v>7537</v>
          </cell>
          <cell r="M20">
            <v>7104</v>
          </cell>
          <cell r="N20">
            <v>7104</v>
          </cell>
          <cell r="O20">
            <v>5111</v>
          </cell>
          <cell r="P20">
            <v>5068</v>
          </cell>
          <cell r="Q20">
            <v>3335</v>
          </cell>
          <cell r="R20">
            <v>3249</v>
          </cell>
          <cell r="S20">
            <v>2296</v>
          </cell>
          <cell r="T20">
            <v>3032</v>
          </cell>
          <cell r="U20">
            <v>1776</v>
          </cell>
          <cell r="V20">
            <v>2122</v>
          </cell>
          <cell r="W20">
            <v>1603</v>
          </cell>
          <cell r="X20">
            <v>1733</v>
          </cell>
          <cell r="Y20">
            <v>1299</v>
          </cell>
          <cell r="Z20">
            <v>996</v>
          </cell>
          <cell r="AA20">
            <v>693</v>
          </cell>
          <cell r="AB20">
            <v>650</v>
          </cell>
          <cell r="AC20">
            <v>953</v>
          </cell>
          <cell r="AD20">
            <v>1819</v>
          </cell>
          <cell r="AE20">
            <v>606</v>
          </cell>
          <cell r="AF20">
            <v>563</v>
          </cell>
          <cell r="AG20">
            <v>953</v>
          </cell>
          <cell r="AH20">
            <v>736</v>
          </cell>
          <cell r="AI20">
            <v>303</v>
          </cell>
          <cell r="AJ20">
            <v>260</v>
          </cell>
          <cell r="AK20">
            <v>433</v>
          </cell>
          <cell r="AL20">
            <v>520</v>
          </cell>
          <cell r="AM20">
            <v>130</v>
          </cell>
          <cell r="AN20">
            <v>130</v>
          </cell>
          <cell r="AO20">
            <v>217</v>
          </cell>
          <cell r="AP20">
            <v>390</v>
          </cell>
        </row>
        <row r="21">
          <cell r="C21" t="str">
            <v xml:space="preserve">Galmudug  </v>
          </cell>
          <cell r="D21" t="str">
            <v>Galgaduud</v>
          </cell>
          <cell r="E21" t="str">
            <v>Cabudwaaq</v>
          </cell>
          <cell r="I21">
            <v>26124</v>
          </cell>
          <cell r="J21">
            <v>21514</v>
          </cell>
          <cell r="K21">
            <v>24698</v>
          </cell>
          <cell r="L21">
            <v>19758</v>
          </cell>
          <cell r="M21">
            <v>17892</v>
          </cell>
          <cell r="N21">
            <v>15148</v>
          </cell>
          <cell r="O21">
            <v>9989</v>
          </cell>
          <cell r="P21">
            <v>13831</v>
          </cell>
          <cell r="Q21">
            <v>4940</v>
          </cell>
          <cell r="R21">
            <v>6915</v>
          </cell>
          <cell r="S21">
            <v>3622</v>
          </cell>
          <cell r="T21">
            <v>7464</v>
          </cell>
          <cell r="U21">
            <v>4391</v>
          </cell>
          <cell r="V21">
            <v>5488</v>
          </cell>
          <cell r="W21">
            <v>3183</v>
          </cell>
          <cell r="X21">
            <v>5049</v>
          </cell>
          <cell r="Y21">
            <v>3622</v>
          </cell>
          <cell r="Z21">
            <v>2305</v>
          </cell>
          <cell r="AA21">
            <v>1866</v>
          </cell>
          <cell r="AB21">
            <v>1207</v>
          </cell>
          <cell r="AC21">
            <v>2415</v>
          </cell>
          <cell r="AD21">
            <v>3293</v>
          </cell>
          <cell r="AE21">
            <v>768</v>
          </cell>
          <cell r="AF21">
            <v>1317</v>
          </cell>
          <cell r="AG21">
            <v>1756</v>
          </cell>
          <cell r="AH21">
            <v>2086</v>
          </cell>
          <cell r="AI21">
            <v>439</v>
          </cell>
          <cell r="AJ21">
            <v>988</v>
          </cell>
          <cell r="AK21">
            <v>1317</v>
          </cell>
          <cell r="AL21">
            <v>1317</v>
          </cell>
          <cell r="AM21">
            <v>329</v>
          </cell>
          <cell r="AN21">
            <v>549</v>
          </cell>
          <cell r="AO21">
            <v>1317</v>
          </cell>
          <cell r="AP21">
            <v>1756</v>
          </cell>
        </row>
        <row r="22">
          <cell r="C22" t="str">
            <v xml:space="preserve">Galmudug  </v>
          </cell>
          <cell r="D22" t="str">
            <v>Galgaduud</v>
          </cell>
          <cell r="E22" t="str">
            <v>Cadaado</v>
          </cell>
          <cell r="I22">
            <v>16763</v>
          </cell>
          <cell r="J22">
            <v>13805</v>
          </cell>
          <cell r="K22">
            <v>15848</v>
          </cell>
          <cell r="L22">
            <v>12678</v>
          </cell>
          <cell r="M22">
            <v>11481</v>
          </cell>
          <cell r="N22">
            <v>9720</v>
          </cell>
          <cell r="O22">
            <v>6410</v>
          </cell>
          <cell r="P22">
            <v>8875</v>
          </cell>
          <cell r="Q22">
            <v>3170</v>
          </cell>
          <cell r="R22">
            <v>4437</v>
          </cell>
          <cell r="S22">
            <v>2324</v>
          </cell>
          <cell r="T22">
            <v>4790</v>
          </cell>
          <cell r="U22">
            <v>2817</v>
          </cell>
          <cell r="V22">
            <v>3522</v>
          </cell>
          <cell r="W22">
            <v>2043</v>
          </cell>
          <cell r="X22">
            <v>3240</v>
          </cell>
          <cell r="Y22">
            <v>2324</v>
          </cell>
          <cell r="Z22">
            <v>1479</v>
          </cell>
          <cell r="AA22">
            <v>1197</v>
          </cell>
          <cell r="AB22">
            <v>775</v>
          </cell>
          <cell r="AC22">
            <v>1550</v>
          </cell>
          <cell r="AD22">
            <v>2113</v>
          </cell>
          <cell r="AE22">
            <v>493</v>
          </cell>
          <cell r="AF22">
            <v>845</v>
          </cell>
          <cell r="AG22">
            <v>1127</v>
          </cell>
          <cell r="AH22">
            <v>1338</v>
          </cell>
          <cell r="AI22">
            <v>282</v>
          </cell>
          <cell r="AJ22">
            <v>634</v>
          </cell>
          <cell r="AK22">
            <v>845</v>
          </cell>
          <cell r="AL22">
            <v>845</v>
          </cell>
          <cell r="AM22">
            <v>211</v>
          </cell>
          <cell r="AN22">
            <v>352</v>
          </cell>
          <cell r="AO22">
            <v>845</v>
          </cell>
          <cell r="AP22">
            <v>1127</v>
          </cell>
        </row>
        <row r="23">
          <cell r="C23" t="str">
            <v xml:space="preserve">Galmudug  </v>
          </cell>
          <cell r="D23" t="str">
            <v>Galgaduud</v>
          </cell>
          <cell r="E23" t="str">
            <v>Ceel Buur</v>
          </cell>
          <cell r="I23">
            <v>13385</v>
          </cell>
          <cell r="J23">
            <v>11023</v>
          </cell>
          <cell r="K23">
            <v>12654</v>
          </cell>
          <cell r="L23">
            <v>10123</v>
          </cell>
          <cell r="M23">
            <v>9167</v>
          </cell>
          <cell r="N23">
            <v>7761</v>
          </cell>
          <cell r="O23">
            <v>5118</v>
          </cell>
          <cell r="P23">
            <v>7086</v>
          </cell>
          <cell r="Q23">
            <v>2531</v>
          </cell>
          <cell r="R23">
            <v>3543</v>
          </cell>
          <cell r="S23">
            <v>1856</v>
          </cell>
          <cell r="T23">
            <v>3824</v>
          </cell>
          <cell r="U23">
            <v>2250</v>
          </cell>
          <cell r="V23">
            <v>2812</v>
          </cell>
          <cell r="W23">
            <v>1631</v>
          </cell>
          <cell r="X23">
            <v>2587</v>
          </cell>
          <cell r="Y23">
            <v>1856</v>
          </cell>
          <cell r="Z23">
            <v>1181</v>
          </cell>
          <cell r="AA23">
            <v>956</v>
          </cell>
          <cell r="AB23">
            <v>619</v>
          </cell>
          <cell r="AC23">
            <v>1237</v>
          </cell>
          <cell r="AD23">
            <v>1687</v>
          </cell>
          <cell r="AE23">
            <v>394</v>
          </cell>
          <cell r="AF23">
            <v>675</v>
          </cell>
          <cell r="AG23">
            <v>900</v>
          </cell>
          <cell r="AH23">
            <v>1069</v>
          </cell>
          <cell r="AI23">
            <v>225</v>
          </cell>
          <cell r="AJ23">
            <v>506</v>
          </cell>
          <cell r="AK23">
            <v>675</v>
          </cell>
          <cell r="AL23">
            <v>675</v>
          </cell>
          <cell r="AM23">
            <v>169</v>
          </cell>
          <cell r="AN23">
            <v>281</v>
          </cell>
          <cell r="AO23">
            <v>675</v>
          </cell>
          <cell r="AP23">
            <v>900</v>
          </cell>
        </row>
        <row r="24">
          <cell r="C24" t="str">
            <v xml:space="preserve">Galmudug  </v>
          </cell>
          <cell r="D24" t="str">
            <v>Galgaduud</v>
          </cell>
          <cell r="E24" t="str">
            <v>Ceel Dheer</v>
          </cell>
          <cell r="I24">
            <v>12964</v>
          </cell>
          <cell r="J24">
            <v>10677</v>
          </cell>
          <cell r="K24">
            <v>12256</v>
          </cell>
          <cell r="L24">
            <v>9805</v>
          </cell>
          <cell r="M24">
            <v>8879</v>
          </cell>
          <cell r="N24">
            <v>7517</v>
          </cell>
          <cell r="O24">
            <v>4957</v>
          </cell>
          <cell r="P24">
            <v>6864</v>
          </cell>
          <cell r="Q24">
            <v>2451</v>
          </cell>
          <cell r="R24">
            <v>3432</v>
          </cell>
          <cell r="S24">
            <v>1798</v>
          </cell>
          <cell r="T24">
            <v>3704</v>
          </cell>
          <cell r="U24">
            <v>2179</v>
          </cell>
          <cell r="V24">
            <v>2724</v>
          </cell>
          <cell r="W24">
            <v>1580</v>
          </cell>
          <cell r="X24">
            <v>2506</v>
          </cell>
          <cell r="Y24">
            <v>1798</v>
          </cell>
          <cell r="Z24">
            <v>1144</v>
          </cell>
          <cell r="AA24">
            <v>926</v>
          </cell>
          <cell r="AB24">
            <v>599</v>
          </cell>
          <cell r="AC24">
            <v>1198</v>
          </cell>
          <cell r="AD24">
            <v>1634</v>
          </cell>
          <cell r="AE24">
            <v>381</v>
          </cell>
          <cell r="AF24">
            <v>654</v>
          </cell>
          <cell r="AG24">
            <v>872</v>
          </cell>
          <cell r="AH24">
            <v>1035</v>
          </cell>
          <cell r="AI24">
            <v>218</v>
          </cell>
          <cell r="AJ24">
            <v>490</v>
          </cell>
          <cell r="AK24">
            <v>654</v>
          </cell>
          <cell r="AL24">
            <v>654</v>
          </cell>
          <cell r="AM24">
            <v>163</v>
          </cell>
          <cell r="AN24">
            <v>272</v>
          </cell>
          <cell r="AO24">
            <v>654</v>
          </cell>
          <cell r="AP24">
            <v>872</v>
          </cell>
        </row>
        <row r="25">
          <cell r="C25" t="str">
            <v xml:space="preserve">Galmudug  </v>
          </cell>
          <cell r="D25" t="str">
            <v>Galgaduud</v>
          </cell>
          <cell r="E25" t="str">
            <v>Dhuusamarreeb</v>
          </cell>
          <cell r="I25">
            <v>30875</v>
          </cell>
          <cell r="J25">
            <v>25426</v>
          </cell>
          <cell r="K25">
            <v>29188</v>
          </cell>
          <cell r="L25">
            <v>23351</v>
          </cell>
          <cell r="M25">
            <v>21145</v>
          </cell>
          <cell r="N25">
            <v>17902</v>
          </cell>
          <cell r="O25">
            <v>11805</v>
          </cell>
          <cell r="P25">
            <v>16346</v>
          </cell>
          <cell r="Q25">
            <v>5838</v>
          </cell>
          <cell r="R25">
            <v>8173</v>
          </cell>
          <cell r="S25">
            <v>4281</v>
          </cell>
          <cell r="T25">
            <v>8821</v>
          </cell>
          <cell r="U25">
            <v>5189</v>
          </cell>
          <cell r="V25">
            <v>6486</v>
          </cell>
          <cell r="W25">
            <v>3762</v>
          </cell>
          <cell r="X25">
            <v>5967</v>
          </cell>
          <cell r="Y25">
            <v>4281</v>
          </cell>
          <cell r="Z25">
            <v>2724</v>
          </cell>
          <cell r="AA25">
            <v>2205</v>
          </cell>
          <cell r="AB25">
            <v>1427</v>
          </cell>
          <cell r="AC25">
            <v>2854</v>
          </cell>
          <cell r="AD25">
            <v>3892</v>
          </cell>
          <cell r="AE25">
            <v>908</v>
          </cell>
          <cell r="AF25">
            <v>1557</v>
          </cell>
          <cell r="AG25">
            <v>2076</v>
          </cell>
          <cell r="AH25">
            <v>2465</v>
          </cell>
          <cell r="AI25">
            <v>519</v>
          </cell>
          <cell r="AJ25">
            <v>1168</v>
          </cell>
          <cell r="AK25">
            <v>1557</v>
          </cell>
          <cell r="AL25">
            <v>1557</v>
          </cell>
          <cell r="AM25">
            <v>389</v>
          </cell>
          <cell r="AN25">
            <v>649</v>
          </cell>
          <cell r="AO25">
            <v>1557</v>
          </cell>
          <cell r="AP25">
            <v>2076</v>
          </cell>
        </row>
        <row r="26">
          <cell r="C26" t="str">
            <v xml:space="preserve">Puntland  </v>
          </cell>
          <cell r="D26" t="str">
            <v>Mudug</v>
          </cell>
          <cell r="E26" t="str">
            <v>Gaalkacyo North</v>
          </cell>
          <cell r="I26">
            <v>72680</v>
          </cell>
          <cell r="J26">
            <v>63553</v>
          </cell>
          <cell r="K26">
            <v>70990</v>
          </cell>
          <cell r="L26">
            <v>61525</v>
          </cell>
          <cell r="M26">
            <v>51721</v>
          </cell>
          <cell r="N26">
            <v>49017</v>
          </cell>
          <cell r="O26">
            <v>33805</v>
          </cell>
          <cell r="P26">
            <v>39890</v>
          </cell>
          <cell r="Q26">
            <v>17578</v>
          </cell>
          <cell r="R26">
            <v>22649</v>
          </cell>
          <cell r="S26">
            <v>14198</v>
          </cell>
          <cell r="T26">
            <v>23325</v>
          </cell>
          <cell r="U26">
            <v>15212</v>
          </cell>
          <cell r="V26">
            <v>18255</v>
          </cell>
          <cell r="W26">
            <v>11832</v>
          </cell>
          <cell r="X26">
            <v>15212</v>
          </cell>
          <cell r="Y26">
            <v>13860</v>
          </cell>
          <cell r="Z26">
            <v>8451</v>
          </cell>
          <cell r="AA26">
            <v>6423</v>
          </cell>
          <cell r="AB26">
            <v>4395</v>
          </cell>
          <cell r="AC26">
            <v>8789</v>
          </cell>
          <cell r="AD26">
            <v>11494</v>
          </cell>
          <cell r="AE26">
            <v>3719</v>
          </cell>
          <cell r="AF26">
            <v>4057</v>
          </cell>
          <cell r="AG26">
            <v>6085</v>
          </cell>
          <cell r="AH26">
            <v>5747</v>
          </cell>
          <cell r="AI26">
            <v>1352</v>
          </cell>
          <cell r="AJ26">
            <v>2028</v>
          </cell>
          <cell r="AK26">
            <v>3380</v>
          </cell>
          <cell r="AL26">
            <v>3719</v>
          </cell>
          <cell r="AM26">
            <v>676</v>
          </cell>
          <cell r="AN26">
            <v>1014</v>
          </cell>
          <cell r="AO26">
            <v>4057</v>
          </cell>
          <cell r="AP26">
            <v>4057</v>
          </cell>
        </row>
        <row r="27">
          <cell r="C27" t="str">
            <v xml:space="preserve">Galmudug  </v>
          </cell>
          <cell r="D27" t="str">
            <v>Mudug</v>
          </cell>
          <cell r="E27" t="str">
            <v>Gaalkacyo South</v>
          </cell>
          <cell r="I27">
            <v>20788</v>
          </cell>
          <cell r="J27">
            <v>17120</v>
          </cell>
          <cell r="K27">
            <v>19653</v>
          </cell>
          <cell r="L27">
            <v>15722</v>
          </cell>
          <cell r="M27">
            <v>14237</v>
          </cell>
          <cell r="N27">
            <v>12054</v>
          </cell>
          <cell r="O27">
            <v>7948</v>
          </cell>
          <cell r="P27">
            <v>11005</v>
          </cell>
          <cell r="Q27">
            <v>3931</v>
          </cell>
          <cell r="R27">
            <v>5503</v>
          </cell>
          <cell r="S27">
            <v>2882</v>
          </cell>
          <cell r="T27">
            <v>5939</v>
          </cell>
          <cell r="U27">
            <v>3494</v>
          </cell>
          <cell r="V27">
            <v>4367</v>
          </cell>
          <cell r="W27">
            <v>2533</v>
          </cell>
          <cell r="X27">
            <v>4018</v>
          </cell>
          <cell r="Y27">
            <v>2882</v>
          </cell>
          <cell r="Z27">
            <v>1834</v>
          </cell>
          <cell r="AA27">
            <v>1485</v>
          </cell>
          <cell r="AB27">
            <v>961</v>
          </cell>
          <cell r="AC27">
            <v>1922</v>
          </cell>
          <cell r="AD27">
            <v>2620</v>
          </cell>
          <cell r="AE27">
            <v>611</v>
          </cell>
          <cell r="AF27">
            <v>1048</v>
          </cell>
          <cell r="AG27">
            <v>1398</v>
          </cell>
          <cell r="AH27">
            <v>1660</v>
          </cell>
          <cell r="AI27">
            <v>349</v>
          </cell>
          <cell r="AJ27">
            <v>786</v>
          </cell>
          <cell r="AK27">
            <v>1048</v>
          </cell>
          <cell r="AL27">
            <v>1048</v>
          </cell>
          <cell r="AM27">
            <v>262</v>
          </cell>
          <cell r="AN27">
            <v>437</v>
          </cell>
          <cell r="AO27">
            <v>1048</v>
          </cell>
          <cell r="AP27">
            <v>1398</v>
          </cell>
        </row>
        <row r="28">
          <cell r="C28" t="str">
            <v xml:space="preserve">Puntland  </v>
          </cell>
          <cell r="D28" t="str">
            <v>Mudug</v>
          </cell>
          <cell r="E28" t="str">
            <v>Galdogob</v>
          </cell>
          <cell r="I28">
            <v>20465</v>
          </cell>
          <cell r="J28">
            <v>17895</v>
          </cell>
          <cell r="K28">
            <v>19989</v>
          </cell>
          <cell r="L28">
            <v>17324</v>
          </cell>
          <cell r="M28">
            <v>14563</v>
          </cell>
          <cell r="N28">
            <v>13802</v>
          </cell>
          <cell r="O28">
            <v>9518</v>
          </cell>
          <cell r="P28">
            <v>11232</v>
          </cell>
          <cell r="Q28">
            <v>4950</v>
          </cell>
          <cell r="R28">
            <v>6377</v>
          </cell>
          <cell r="S28">
            <v>3998</v>
          </cell>
          <cell r="T28">
            <v>6568</v>
          </cell>
          <cell r="U28">
            <v>4283</v>
          </cell>
          <cell r="V28">
            <v>5140</v>
          </cell>
          <cell r="W28">
            <v>3331</v>
          </cell>
          <cell r="X28">
            <v>4283</v>
          </cell>
          <cell r="Y28">
            <v>3903</v>
          </cell>
          <cell r="Z28">
            <v>2380</v>
          </cell>
          <cell r="AA28">
            <v>1809</v>
          </cell>
          <cell r="AB28">
            <v>1237</v>
          </cell>
          <cell r="AC28">
            <v>2475</v>
          </cell>
          <cell r="AD28">
            <v>3236</v>
          </cell>
          <cell r="AE28">
            <v>1047</v>
          </cell>
          <cell r="AF28">
            <v>1142</v>
          </cell>
          <cell r="AG28">
            <v>1713</v>
          </cell>
          <cell r="AH28">
            <v>1618</v>
          </cell>
          <cell r="AI28">
            <v>381</v>
          </cell>
          <cell r="AJ28">
            <v>571</v>
          </cell>
          <cell r="AK28">
            <v>952</v>
          </cell>
          <cell r="AL28">
            <v>1047</v>
          </cell>
          <cell r="AM28">
            <v>190</v>
          </cell>
          <cell r="AN28">
            <v>286</v>
          </cell>
          <cell r="AO28">
            <v>1142</v>
          </cell>
          <cell r="AP28">
            <v>1142</v>
          </cell>
        </row>
        <row r="29">
          <cell r="C29" t="str">
            <v xml:space="preserve">Galmudug  </v>
          </cell>
          <cell r="D29" t="str">
            <v>Mudug</v>
          </cell>
          <cell r="E29" t="str">
            <v>Hobyo</v>
          </cell>
          <cell r="I29">
            <v>23153</v>
          </cell>
          <cell r="J29">
            <v>19067</v>
          </cell>
          <cell r="K29">
            <v>21888</v>
          </cell>
          <cell r="L29">
            <v>17511</v>
          </cell>
          <cell r="M29">
            <v>15857</v>
          </cell>
          <cell r="N29">
            <v>13425</v>
          </cell>
          <cell r="O29">
            <v>8853</v>
          </cell>
          <cell r="P29">
            <v>12257</v>
          </cell>
          <cell r="Q29">
            <v>4378</v>
          </cell>
          <cell r="R29">
            <v>6129</v>
          </cell>
          <cell r="S29">
            <v>3210</v>
          </cell>
          <cell r="T29">
            <v>6615</v>
          </cell>
          <cell r="U29">
            <v>3891</v>
          </cell>
          <cell r="V29">
            <v>4864</v>
          </cell>
          <cell r="W29">
            <v>2821</v>
          </cell>
          <cell r="X29">
            <v>4475</v>
          </cell>
          <cell r="Y29">
            <v>3210</v>
          </cell>
          <cell r="Z29">
            <v>2043</v>
          </cell>
          <cell r="AA29">
            <v>1654</v>
          </cell>
          <cell r="AB29">
            <v>1070</v>
          </cell>
          <cell r="AC29">
            <v>2140</v>
          </cell>
          <cell r="AD29">
            <v>2918</v>
          </cell>
          <cell r="AE29">
            <v>681</v>
          </cell>
          <cell r="AF29">
            <v>1167</v>
          </cell>
          <cell r="AG29">
            <v>1557</v>
          </cell>
          <cell r="AH29">
            <v>1848</v>
          </cell>
          <cell r="AI29">
            <v>389</v>
          </cell>
          <cell r="AJ29">
            <v>876</v>
          </cell>
          <cell r="AK29">
            <v>1167</v>
          </cell>
          <cell r="AL29">
            <v>1167</v>
          </cell>
          <cell r="AM29">
            <v>292</v>
          </cell>
          <cell r="AN29">
            <v>486</v>
          </cell>
          <cell r="AO29">
            <v>1167</v>
          </cell>
          <cell r="AP29">
            <v>1557</v>
          </cell>
        </row>
        <row r="30">
          <cell r="C30" t="str">
            <v xml:space="preserve">Galmudug  </v>
          </cell>
          <cell r="D30" t="str">
            <v>Mudug</v>
          </cell>
          <cell r="E30" t="str">
            <v>Jariiban</v>
          </cell>
          <cell r="I30">
            <v>23785</v>
          </cell>
          <cell r="J30">
            <v>19588</v>
          </cell>
          <cell r="K30">
            <v>22486</v>
          </cell>
          <cell r="L30">
            <v>17989</v>
          </cell>
          <cell r="M30">
            <v>16290</v>
          </cell>
          <cell r="N30">
            <v>13791</v>
          </cell>
          <cell r="O30">
            <v>9094</v>
          </cell>
          <cell r="P30">
            <v>12592</v>
          </cell>
          <cell r="Q30">
            <v>4497</v>
          </cell>
          <cell r="R30">
            <v>6296</v>
          </cell>
          <cell r="S30">
            <v>3298</v>
          </cell>
          <cell r="T30">
            <v>6796</v>
          </cell>
          <cell r="U30">
            <v>3998</v>
          </cell>
          <cell r="V30">
            <v>4997</v>
          </cell>
          <cell r="W30">
            <v>2898</v>
          </cell>
          <cell r="X30">
            <v>4597</v>
          </cell>
          <cell r="Y30">
            <v>3298</v>
          </cell>
          <cell r="Z30">
            <v>2099</v>
          </cell>
          <cell r="AA30">
            <v>1699</v>
          </cell>
          <cell r="AB30">
            <v>1099</v>
          </cell>
          <cell r="AC30">
            <v>2199</v>
          </cell>
          <cell r="AD30">
            <v>2998</v>
          </cell>
          <cell r="AE30">
            <v>700</v>
          </cell>
          <cell r="AF30">
            <v>1199</v>
          </cell>
          <cell r="AG30">
            <v>1599</v>
          </cell>
          <cell r="AH30">
            <v>1899</v>
          </cell>
          <cell r="AI30">
            <v>400</v>
          </cell>
          <cell r="AJ30">
            <v>899</v>
          </cell>
          <cell r="AK30">
            <v>1199</v>
          </cell>
          <cell r="AL30">
            <v>1199</v>
          </cell>
          <cell r="AM30">
            <v>300</v>
          </cell>
          <cell r="AN30">
            <v>500</v>
          </cell>
          <cell r="AO30">
            <v>1199</v>
          </cell>
          <cell r="AP30">
            <v>1599</v>
          </cell>
        </row>
        <row r="31">
          <cell r="C31" t="str">
            <v xml:space="preserve">Galmudug  </v>
          </cell>
          <cell r="D31" t="str">
            <v>Mudug</v>
          </cell>
          <cell r="E31" t="str">
            <v>Xarardheere</v>
          </cell>
          <cell r="I31">
            <v>10090</v>
          </cell>
          <cell r="J31">
            <v>8309</v>
          </cell>
          <cell r="K31">
            <v>9539</v>
          </cell>
          <cell r="L31">
            <v>7631</v>
          </cell>
          <cell r="M31">
            <v>6910</v>
          </cell>
          <cell r="N31">
            <v>5850</v>
          </cell>
          <cell r="O31">
            <v>3858</v>
          </cell>
          <cell r="P31">
            <v>5342</v>
          </cell>
          <cell r="Q31">
            <v>1908</v>
          </cell>
          <cell r="R31">
            <v>2671</v>
          </cell>
          <cell r="S31">
            <v>1399</v>
          </cell>
          <cell r="T31">
            <v>2883</v>
          </cell>
          <cell r="U31">
            <v>1696</v>
          </cell>
          <cell r="V31">
            <v>2120</v>
          </cell>
          <cell r="W31">
            <v>1229</v>
          </cell>
          <cell r="X31">
            <v>1950</v>
          </cell>
          <cell r="Y31">
            <v>1399</v>
          </cell>
          <cell r="Z31">
            <v>890</v>
          </cell>
          <cell r="AA31">
            <v>721</v>
          </cell>
          <cell r="AB31">
            <v>466</v>
          </cell>
          <cell r="AC31">
            <v>933</v>
          </cell>
          <cell r="AD31">
            <v>1272</v>
          </cell>
          <cell r="AE31">
            <v>297</v>
          </cell>
          <cell r="AF31">
            <v>509</v>
          </cell>
          <cell r="AG31">
            <v>678</v>
          </cell>
          <cell r="AH31">
            <v>805</v>
          </cell>
          <cell r="AI31">
            <v>170</v>
          </cell>
          <cell r="AJ31">
            <v>382</v>
          </cell>
          <cell r="AK31">
            <v>509</v>
          </cell>
          <cell r="AL31">
            <v>509</v>
          </cell>
          <cell r="AM31">
            <v>127</v>
          </cell>
          <cell r="AN31">
            <v>212</v>
          </cell>
          <cell r="AO31">
            <v>509</v>
          </cell>
          <cell r="AP31">
            <v>678</v>
          </cell>
        </row>
        <row r="32">
          <cell r="C32" t="str">
            <v xml:space="preserve">Hirshabelle  </v>
          </cell>
          <cell r="D32" t="str">
            <v>Hiraan</v>
          </cell>
          <cell r="E32" t="str">
            <v>Belet Weyne</v>
          </cell>
          <cell r="I32">
            <v>38163</v>
          </cell>
          <cell r="J32">
            <v>40274</v>
          </cell>
          <cell r="K32">
            <v>36053</v>
          </cell>
          <cell r="L32">
            <v>35877</v>
          </cell>
          <cell r="M32">
            <v>27787</v>
          </cell>
          <cell r="N32">
            <v>25501</v>
          </cell>
          <cell r="O32">
            <v>16004</v>
          </cell>
          <cell r="P32">
            <v>15300</v>
          </cell>
          <cell r="Q32">
            <v>8442</v>
          </cell>
          <cell r="R32">
            <v>10200</v>
          </cell>
          <cell r="S32">
            <v>8618</v>
          </cell>
          <cell r="T32">
            <v>12311</v>
          </cell>
          <cell r="U32">
            <v>7914</v>
          </cell>
          <cell r="V32">
            <v>7211</v>
          </cell>
          <cell r="W32">
            <v>7211</v>
          </cell>
          <cell r="X32">
            <v>6507</v>
          </cell>
          <cell r="Y32">
            <v>4221</v>
          </cell>
          <cell r="Z32">
            <v>4221</v>
          </cell>
          <cell r="AA32">
            <v>3693</v>
          </cell>
          <cell r="AB32">
            <v>1935</v>
          </cell>
          <cell r="AC32">
            <v>5628</v>
          </cell>
          <cell r="AD32">
            <v>6507</v>
          </cell>
          <cell r="AE32">
            <v>2462</v>
          </cell>
          <cell r="AF32">
            <v>2638</v>
          </cell>
          <cell r="AG32">
            <v>3517</v>
          </cell>
          <cell r="AH32">
            <v>2814</v>
          </cell>
          <cell r="AI32">
            <v>1407</v>
          </cell>
          <cell r="AJ32">
            <v>879</v>
          </cell>
          <cell r="AK32">
            <v>1231</v>
          </cell>
          <cell r="AL32">
            <v>1935</v>
          </cell>
          <cell r="AM32">
            <v>703</v>
          </cell>
          <cell r="AN32">
            <v>528</v>
          </cell>
          <cell r="AO32">
            <v>1583</v>
          </cell>
          <cell r="AP32">
            <v>1407</v>
          </cell>
        </row>
        <row r="33">
          <cell r="C33" t="str">
            <v xml:space="preserve">Hirshabelle  </v>
          </cell>
          <cell r="D33" t="str">
            <v>Hiraan</v>
          </cell>
          <cell r="E33" t="str">
            <v>Bulo Burto</v>
          </cell>
          <cell r="I33">
            <v>11300</v>
          </cell>
          <cell r="J33">
            <v>11925</v>
          </cell>
          <cell r="K33">
            <v>10675</v>
          </cell>
          <cell r="L33">
            <v>10623</v>
          </cell>
          <cell r="M33">
            <v>8228</v>
          </cell>
          <cell r="N33">
            <v>7551</v>
          </cell>
          <cell r="O33">
            <v>4739</v>
          </cell>
          <cell r="P33">
            <v>4530</v>
          </cell>
          <cell r="Q33">
            <v>2500</v>
          </cell>
          <cell r="R33">
            <v>3020</v>
          </cell>
          <cell r="S33">
            <v>2552</v>
          </cell>
          <cell r="T33">
            <v>3645</v>
          </cell>
          <cell r="U33">
            <v>2343</v>
          </cell>
          <cell r="V33">
            <v>2135</v>
          </cell>
          <cell r="W33">
            <v>2135</v>
          </cell>
          <cell r="X33">
            <v>1927</v>
          </cell>
          <cell r="Y33">
            <v>1250</v>
          </cell>
          <cell r="Z33">
            <v>1250</v>
          </cell>
          <cell r="AA33">
            <v>1094</v>
          </cell>
          <cell r="AB33">
            <v>573</v>
          </cell>
          <cell r="AC33">
            <v>1666</v>
          </cell>
          <cell r="AD33">
            <v>1927</v>
          </cell>
          <cell r="AE33">
            <v>729</v>
          </cell>
          <cell r="AF33">
            <v>781</v>
          </cell>
          <cell r="AG33">
            <v>1041</v>
          </cell>
          <cell r="AH33">
            <v>833</v>
          </cell>
          <cell r="AI33">
            <v>417</v>
          </cell>
          <cell r="AJ33">
            <v>260</v>
          </cell>
          <cell r="AK33">
            <v>365</v>
          </cell>
          <cell r="AL33">
            <v>573</v>
          </cell>
          <cell r="AM33">
            <v>208</v>
          </cell>
          <cell r="AN33">
            <v>156</v>
          </cell>
          <cell r="AO33">
            <v>469</v>
          </cell>
          <cell r="AP33">
            <v>417</v>
          </cell>
        </row>
        <row r="34">
          <cell r="C34" t="str">
            <v xml:space="preserve">Hirshabelle  </v>
          </cell>
          <cell r="D34" t="str">
            <v>Hiraan</v>
          </cell>
          <cell r="E34" t="str">
            <v>Jalalaqsi</v>
          </cell>
          <cell r="I34">
            <v>7182</v>
          </cell>
          <cell r="J34">
            <v>7580</v>
          </cell>
          <cell r="K34">
            <v>6785</v>
          </cell>
          <cell r="L34">
            <v>6752</v>
          </cell>
          <cell r="M34">
            <v>5230</v>
          </cell>
          <cell r="N34">
            <v>4799</v>
          </cell>
          <cell r="O34">
            <v>3012</v>
          </cell>
          <cell r="P34">
            <v>2880</v>
          </cell>
          <cell r="Q34">
            <v>1589</v>
          </cell>
          <cell r="R34">
            <v>1920</v>
          </cell>
          <cell r="S34">
            <v>1622</v>
          </cell>
          <cell r="T34">
            <v>2317</v>
          </cell>
          <cell r="U34">
            <v>1489</v>
          </cell>
          <cell r="V34">
            <v>1357</v>
          </cell>
          <cell r="W34">
            <v>1357</v>
          </cell>
          <cell r="X34">
            <v>1225</v>
          </cell>
          <cell r="Y34">
            <v>794</v>
          </cell>
          <cell r="Z34">
            <v>794</v>
          </cell>
          <cell r="AA34">
            <v>695</v>
          </cell>
          <cell r="AB34">
            <v>364</v>
          </cell>
          <cell r="AC34">
            <v>1059</v>
          </cell>
          <cell r="AD34">
            <v>1225</v>
          </cell>
          <cell r="AE34">
            <v>463</v>
          </cell>
          <cell r="AF34">
            <v>496</v>
          </cell>
          <cell r="AG34">
            <v>662</v>
          </cell>
          <cell r="AH34">
            <v>530</v>
          </cell>
          <cell r="AI34">
            <v>265</v>
          </cell>
          <cell r="AJ34">
            <v>165</v>
          </cell>
          <cell r="AK34">
            <v>232</v>
          </cell>
          <cell r="AL34">
            <v>364</v>
          </cell>
          <cell r="AM34">
            <v>132</v>
          </cell>
          <cell r="AN34">
            <v>99</v>
          </cell>
          <cell r="AO34">
            <v>298</v>
          </cell>
          <cell r="AP34">
            <v>265</v>
          </cell>
        </row>
        <row r="35">
          <cell r="C35" t="str">
            <v xml:space="preserve">Hirshabelle  </v>
          </cell>
          <cell r="D35" t="str">
            <v>Middle Shabelle</v>
          </cell>
          <cell r="E35" t="str">
            <v>Adan Yabaal</v>
          </cell>
          <cell r="I35">
            <v>11399</v>
          </cell>
          <cell r="J35">
            <v>12029</v>
          </cell>
          <cell r="K35">
            <v>10768</v>
          </cell>
          <cell r="L35">
            <v>10716</v>
          </cell>
          <cell r="M35">
            <v>8300</v>
          </cell>
          <cell r="N35">
            <v>7617</v>
          </cell>
          <cell r="O35">
            <v>4780</v>
          </cell>
          <cell r="P35">
            <v>4570</v>
          </cell>
          <cell r="Q35">
            <v>2521</v>
          </cell>
          <cell r="R35">
            <v>3047</v>
          </cell>
          <cell r="S35">
            <v>2574</v>
          </cell>
          <cell r="T35">
            <v>3677</v>
          </cell>
          <cell r="U35">
            <v>2364</v>
          </cell>
          <cell r="V35">
            <v>2154</v>
          </cell>
          <cell r="W35">
            <v>2154</v>
          </cell>
          <cell r="X35">
            <v>1944</v>
          </cell>
          <cell r="Y35">
            <v>1261</v>
          </cell>
          <cell r="Z35">
            <v>1261</v>
          </cell>
          <cell r="AA35">
            <v>1103</v>
          </cell>
          <cell r="AB35">
            <v>578</v>
          </cell>
          <cell r="AC35">
            <v>1681</v>
          </cell>
          <cell r="AD35">
            <v>1944</v>
          </cell>
          <cell r="AE35">
            <v>735</v>
          </cell>
          <cell r="AF35">
            <v>788</v>
          </cell>
          <cell r="AG35">
            <v>1051</v>
          </cell>
          <cell r="AH35">
            <v>840</v>
          </cell>
          <cell r="AI35">
            <v>420</v>
          </cell>
          <cell r="AJ35">
            <v>263</v>
          </cell>
          <cell r="AK35">
            <v>368</v>
          </cell>
          <cell r="AL35">
            <v>578</v>
          </cell>
          <cell r="AM35">
            <v>210</v>
          </cell>
          <cell r="AN35">
            <v>158</v>
          </cell>
          <cell r="AO35">
            <v>473</v>
          </cell>
          <cell r="AP35">
            <v>420</v>
          </cell>
        </row>
        <row r="36">
          <cell r="C36" t="str">
            <v xml:space="preserve">Hirshabelle  </v>
          </cell>
          <cell r="D36" t="str">
            <v>Middle Shabelle</v>
          </cell>
          <cell r="E36" t="str">
            <v>Balcad</v>
          </cell>
          <cell r="I36">
            <v>44378</v>
          </cell>
          <cell r="J36">
            <v>46832</v>
          </cell>
          <cell r="K36">
            <v>41924</v>
          </cell>
          <cell r="L36">
            <v>41719</v>
          </cell>
          <cell r="M36">
            <v>32312</v>
          </cell>
          <cell r="N36">
            <v>29653</v>
          </cell>
          <cell r="O36">
            <v>18610</v>
          </cell>
          <cell r="P36">
            <v>17792</v>
          </cell>
          <cell r="Q36">
            <v>9816</v>
          </cell>
          <cell r="R36">
            <v>11861</v>
          </cell>
          <cell r="S36">
            <v>10021</v>
          </cell>
          <cell r="T36">
            <v>14315</v>
          </cell>
          <cell r="U36">
            <v>9203</v>
          </cell>
          <cell r="V36">
            <v>8385</v>
          </cell>
          <cell r="W36">
            <v>8385</v>
          </cell>
          <cell r="X36">
            <v>7567</v>
          </cell>
          <cell r="Y36">
            <v>4908</v>
          </cell>
          <cell r="Z36">
            <v>4908</v>
          </cell>
          <cell r="AA36">
            <v>4295</v>
          </cell>
          <cell r="AB36">
            <v>2250</v>
          </cell>
          <cell r="AC36">
            <v>6544</v>
          </cell>
          <cell r="AD36">
            <v>7567</v>
          </cell>
          <cell r="AE36">
            <v>2863</v>
          </cell>
          <cell r="AF36">
            <v>3068</v>
          </cell>
          <cell r="AG36">
            <v>4090</v>
          </cell>
          <cell r="AH36">
            <v>3272</v>
          </cell>
          <cell r="AI36">
            <v>1636</v>
          </cell>
          <cell r="AJ36">
            <v>1023</v>
          </cell>
          <cell r="AK36">
            <v>1432</v>
          </cell>
          <cell r="AL36">
            <v>2250</v>
          </cell>
          <cell r="AM36">
            <v>818</v>
          </cell>
          <cell r="AN36">
            <v>614</v>
          </cell>
          <cell r="AO36">
            <v>1841</v>
          </cell>
          <cell r="AP36">
            <v>1636</v>
          </cell>
        </row>
        <row r="37">
          <cell r="C37" t="str">
            <v xml:space="preserve">Hirshabelle  </v>
          </cell>
          <cell r="D37" t="str">
            <v>Middle Shabelle</v>
          </cell>
          <cell r="E37" t="str">
            <v>Cadale</v>
          </cell>
          <cell r="I37">
            <v>9406</v>
          </cell>
          <cell r="J37">
            <v>9926</v>
          </cell>
          <cell r="K37">
            <v>8886</v>
          </cell>
          <cell r="L37">
            <v>8843</v>
          </cell>
          <cell r="M37">
            <v>6849</v>
          </cell>
          <cell r="N37">
            <v>6285</v>
          </cell>
          <cell r="O37">
            <v>3945</v>
          </cell>
          <cell r="P37">
            <v>3771</v>
          </cell>
          <cell r="Q37">
            <v>2081</v>
          </cell>
          <cell r="R37">
            <v>2514</v>
          </cell>
          <cell r="S37">
            <v>2124</v>
          </cell>
          <cell r="T37">
            <v>3034</v>
          </cell>
          <cell r="U37">
            <v>1951</v>
          </cell>
          <cell r="V37">
            <v>1777</v>
          </cell>
          <cell r="W37">
            <v>1777</v>
          </cell>
          <cell r="X37">
            <v>1604</v>
          </cell>
          <cell r="Y37">
            <v>1040</v>
          </cell>
          <cell r="Z37">
            <v>1040</v>
          </cell>
          <cell r="AA37">
            <v>910</v>
          </cell>
          <cell r="AB37">
            <v>477</v>
          </cell>
          <cell r="AC37">
            <v>1387</v>
          </cell>
          <cell r="AD37">
            <v>1604</v>
          </cell>
          <cell r="AE37">
            <v>607</v>
          </cell>
          <cell r="AF37">
            <v>650</v>
          </cell>
          <cell r="AG37">
            <v>867</v>
          </cell>
          <cell r="AH37">
            <v>694</v>
          </cell>
          <cell r="AI37">
            <v>347</v>
          </cell>
          <cell r="AJ37">
            <v>217</v>
          </cell>
          <cell r="AK37">
            <v>303</v>
          </cell>
          <cell r="AL37">
            <v>477</v>
          </cell>
          <cell r="AM37">
            <v>173</v>
          </cell>
          <cell r="AN37">
            <v>130</v>
          </cell>
          <cell r="AO37">
            <v>390</v>
          </cell>
          <cell r="AP37">
            <v>347</v>
          </cell>
        </row>
        <row r="38">
          <cell r="C38" t="str">
            <v xml:space="preserve">Hirshabelle  </v>
          </cell>
          <cell r="D38" t="str">
            <v>Middle Shabelle</v>
          </cell>
          <cell r="E38" t="str">
            <v>Jowhar</v>
          </cell>
          <cell r="I38">
            <v>48526</v>
          </cell>
          <cell r="J38">
            <v>51210</v>
          </cell>
          <cell r="K38">
            <v>45843</v>
          </cell>
          <cell r="L38">
            <v>45619</v>
          </cell>
          <cell r="M38">
            <v>35332</v>
          </cell>
          <cell r="N38">
            <v>32425</v>
          </cell>
          <cell r="O38">
            <v>20350</v>
          </cell>
          <cell r="P38">
            <v>19455</v>
          </cell>
          <cell r="Q38">
            <v>10734</v>
          </cell>
          <cell r="R38">
            <v>12970</v>
          </cell>
          <cell r="S38">
            <v>10958</v>
          </cell>
          <cell r="T38">
            <v>15654</v>
          </cell>
          <cell r="U38">
            <v>10063</v>
          </cell>
          <cell r="V38">
            <v>9169</v>
          </cell>
          <cell r="W38">
            <v>9169</v>
          </cell>
          <cell r="X38">
            <v>8274</v>
          </cell>
          <cell r="Y38">
            <v>5367</v>
          </cell>
          <cell r="Z38">
            <v>5367</v>
          </cell>
          <cell r="AA38">
            <v>4696</v>
          </cell>
          <cell r="AB38">
            <v>2460</v>
          </cell>
          <cell r="AC38">
            <v>7156</v>
          </cell>
          <cell r="AD38">
            <v>8274</v>
          </cell>
          <cell r="AE38">
            <v>3131</v>
          </cell>
          <cell r="AF38">
            <v>3354</v>
          </cell>
          <cell r="AG38">
            <v>4472</v>
          </cell>
          <cell r="AH38">
            <v>3578</v>
          </cell>
          <cell r="AI38">
            <v>1789</v>
          </cell>
          <cell r="AJ38">
            <v>1118</v>
          </cell>
          <cell r="AK38">
            <v>1565</v>
          </cell>
          <cell r="AL38">
            <v>2460</v>
          </cell>
          <cell r="AM38">
            <v>894</v>
          </cell>
          <cell r="AN38">
            <v>671</v>
          </cell>
          <cell r="AO38">
            <v>2013</v>
          </cell>
          <cell r="AP38">
            <v>1789</v>
          </cell>
        </row>
        <row r="39">
          <cell r="C39" t="str">
            <v xml:space="preserve">Jubaland  </v>
          </cell>
          <cell r="D39" t="str">
            <v>Gedo</v>
          </cell>
          <cell r="E39" t="str">
            <v>Baardheere</v>
          </cell>
          <cell r="I39">
            <v>24227</v>
          </cell>
          <cell r="J39">
            <v>22963</v>
          </cell>
          <cell r="K39">
            <v>21699</v>
          </cell>
          <cell r="L39">
            <v>20962</v>
          </cell>
          <cell r="M39">
            <v>15906</v>
          </cell>
          <cell r="N39">
            <v>16116</v>
          </cell>
          <cell r="O39">
            <v>9270</v>
          </cell>
          <cell r="P39">
            <v>9059</v>
          </cell>
          <cell r="Q39">
            <v>4529</v>
          </cell>
          <cell r="R39">
            <v>6847</v>
          </cell>
          <cell r="S39">
            <v>5161</v>
          </cell>
          <cell r="T39">
            <v>6741</v>
          </cell>
          <cell r="U39">
            <v>4951</v>
          </cell>
          <cell r="V39">
            <v>5899</v>
          </cell>
          <cell r="W39">
            <v>4003</v>
          </cell>
          <cell r="X39">
            <v>4635</v>
          </cell>
          <cell r="Y39">
            <v>4213</v>
          </cell>
          <cell r="Z39">
            <v>2423</v>
          </cell>
          <cell r="AA39">
            <v>2107</v>
          </cell>
          <cell r="AB39">
            <v>1369</v>
          </cell>
          <cell r="AC39">
            <v>3265</v>
          </cell>
          <cell r="AD39">
            <v>2739</v>
          </cell>
          <cell r="AE39">
            <v>1369</v>
          </cell>
          <cell r="AF39">
            <v>1475</v>
          </cell>
          <cell r="AG39">
            <v>1685</v>
          </cell>
          <cell r="AH39">
            <v>1475</v>
          </cell>
          <cell r="AI39">
            <v>632</v>
          </cell>
          <cell r="AJ39">
            <v>421</v>
          </cell>
          <cell r="AK39">
            <v>632</v>
          </cell>
          <cell r="AL39">
            <v>948</v>
          </cell>
          <cell r="AM39">
            <v>211</v>
          </cell>
          <cell r="AN39">
            <v>211</v>
          </cell>
          <cell r="AO39">
            <v>737</v>
          </cell>
          <cell r="AP39">
            <v>1053</v>
          </cell>
        </row>
        <row r="40">
          <cell r="C40" t="str">
            <v xml:space="preserve">Jubaland  </v>
          </cell>
          <cell r="D40" t="str">
            <v>Gedo</v>
          </cell>
          <cell r="E40" t="str">
            <v>Belet Xaawo</v>
          </cell>
          <cell r="I40">
            <v>20614</v>
          </cell>
          <cell r="J40">
            <v>19538</v>
          </cell>
          <cell r="K40">
            <v>18463</v>
          </cell>
          <cell r="L40">
            <v>17835</v>
          </cell>
          <cell r="M40">
            <v>13533</v>
          </cell>
          <cell r="N40">
            <v>13713</v>
          </cell>
          <cell r="O40">
            <v>7887</v>
          </cell>
          <cell r="P40">
            <v>7708</v>
          </cell>
          <cell r="Q40">
            <v>3854</v>
          </cell>
          <cell r="R40">
            <v>5826</v>
          </cell>
          <cell r="S40">
            <v>4392</v>
          </cell>
          <cell r="T40">
            <v>5736</v>
          </cell>
          <cell r="U40">
            <v>4212</v>
          </cell>
          <cell r="V40">
            <v>5019</v>
          </cell>
          <cell r="W40">
            <v>3406</v>
          </cell>
          <cell r="X40">
            <v>3943</v>
          </cell>
          <cell r="Y40">
            <v>3585</v>
          </cell>
          <cell r="Z40">
            <v>2061</v>
          </cell>
          <cell r="AA40">
            <v>1792</v>
          </cell>
          <cell r="AB40">
            <v>1165</v>
          </cell>
          <cell r="AC40">
            <v>2778</v>
          </cell>
          <cell r="AD40">
            <v>2330</v>
          </cell>
          <cell r="AE40">
            <v>1165</v>
          </cell>
          <cell r="AF40">
            <v>1255</v>
          </cell>
          <cell r="AG40">
            <v>1434</v>
          </cell>
          <cell r="AH40">
            <v>1255</v>
          </cell>
          <cell r="AI40">
            <v>538</v>
          </cell>
          <cell r="AJ40">
            <v>358</v>
          </cell>
          <cell r="AK40">
            <v>538</v>
          </cell>
          <cell r="AL40">
            <v>807</v>
          </cell>
          <cell r="AM40">
            <v>179</v>
          </cell>
          <cell r="AN40">
            <v>179</v>
          </cell>
          <cell r="AO40">
            <v>627</v>
          </cell>
          <cell r="AP40">
            <v>896</v>
          </cell>
        </row>
        <row r="41">
          <cell r="C41" t="str">
            <v xml:space="preserve">Jubaland  </v>
          </cell>
          <cell r="D41" t="str">
            <v>Gedo</v>
          </cell>
          <cell r="E41" t="str">
            <v>Ceel Waaq</v>
          </cell>
          <cell r="I41">
            <v>12319</v>
          </cell>
          <cell r="J41">
            <v>11677</v>
          </cell>
          <cell r="K41">
            <v>11034</v>
          </cell>
          <cell r="L41">
            <v>10659</v>
          </cell>
          <cell r="M41">
            <v>8088</v>
          </cell>
          <cell r="N41">
            <v>8195</v>
          </cell>
          <cell r="O41">
            <v>4713</v>
          </cell>
          <cell r="P41">
            <v>4606</v>
          </cell>
          <cell r="Q41">
            <v>2303</v>
          </cell>
          <cell r="R41">
            <v>3482</v>
          </cell>
          <cell r="S41">
            <v>2625</v>
          </cell>
          <cell r="T41">
            <v>3428</v>
          </cell>
          <cell r="U41">
            <v>2517</v>
          </cell>
          <cell r="V41">
            <v>2999</v>
          </cell>
          <cell r="W41">
            <v>2035</v>
          </cell>
          <cell r="X41">
            <v>2357</v>
          </cell>
          <cell r="Y41">
            <v>2142</v>
          </cell>
          <cell r="Z41">
            <v>1232</v>
          </cell>
          <cell r="AA41">
            <v>1071</v>
          </cell>
          <cell r="AB41">
            <v>696</v>
          </cell>
          <cell r="AC41">
            <v>1660</v>
          </cell>
          <cell r="AD41">
            <v>1393</v>
          </cell>
          <cell r="AE41">
            <v>696</v>
          </cell>
          <cell r="AF41">
            <v>750</v>
          </cell>
          <cell r="AG41">
            <v>857</v>
          </cell>
          <cell r="AH41">
            <v>750</v>
          </cell>
          <cell r="AI41">
            <v>321</v>
          </cell>
          <cell r="AJ41">
            <v>214</v>
          </cell>
          <cell r="AK41">
            <v>321</v>
          </cell>
          <cell r="AL41">
            <v>482</v>
          </cell>
          <cell r="AM41">
            <v>107</v>
          </cell>
          <cell r="AN41">
            <v>107</v>
          </cell>
          <cell r="AO41">
            <v>375</v>
          </cell>
          <cell r="AP41">
            <v>536</v>
          </cell>
        </row>
        <row r="42">
          <cell r="C42" t="str">
            <v xml:space="preserve">Jubaland  </v>
          </cell>
          <cell r="D42" t="str">
            <v>Gedo</v>
          </cell>
          <cell r="E42" t="str">
            <v>Doolow</v>
          </cell>
          <cell r="I42">
            <v>24481</v>
          </cell>
          <cell r="J42">
            <v>23204</v>
          </cell>
          <cell r="K42">
            <v>21927</v>
          </cell>
          <cell r="L42">
            <v>21181</v>
          </cell>
          <cell r="M42">
            <v>16072</v>
          </cell>
          <cell r="N42">
            <v>16285</v>
          </cell>
          <cell r="O42">
            <v>9367</v>
          </cell>
          <cell r="P42">
            <v>9154</v>
          </cell>
          <cell r="Q42">
            <v>4577</v>
          </cell>
          <cell r="R42">
            <v>6919</v>
          </cell>
          <cell r="S42">
            <v>5216</v>
          </cell>
          <cell r="T42">
            <v>6812</v>
          </cell>
          <cell r="U42">
            <v>5003</v>
          </cell>
          <cell r="V42">
            <v>5961</v>
          </cell>
          <cell r="W42">
            <v>4045</v>
          </cell>
          <cell r="X42">
            <v>4683</v>
          </cell>
          <cell r="Y42">
            <v>4258</v>
          </cell>
          <cell r="Z42">
            <v>2448</v>
          </cell>
          <cell r="AA42">
            <v>2129</v>
          </cell>
          <cell r="AB42">
            <v>1384</v>
          </cell>
          <cell r="AC42">
            <v>3300</v>
          </cell>
          <cell r="AD42">
            <v>2767</v>
          </cell>
          <cell r="AE42">
            <v>1384</v>
          </cell>
          <cell r="AF42">
            <v>1490</v>
          </cell>
          <cell r="AG42">
            <v>1703</v>
          </cell>
          <cell r="AH42">
            <v>1490</v>
          </cell>
          <cell r="AI42">
            <v>639</v>
          </cell>
          <cell r="AJ42">
            <v>426</v>
          </cell>
          <cell r="AK42">
            <v>639</v>
          </cell>
          <cell r="AL42">
            <v>958</v>
          </cell>
          <cell r="AM42">
            <v>213</v>
          </cell>
          <cell r="AN42">
            <v>213</v>
          </cell>
          <cell r="AO42">
            <v>745</v>
          </cell>
          <cell r="AP42">
            <v>1064</v>
          </cell>
        </row>
        <row r="43">
          <cell r="C43" t="str">
            <v xml:space="preserve">Jubaland  </v>
          </cell>
          <cell r="D43" t="str">
            <v>Gedo</v>
          </cell>
          <cell r="E43" t="str">
            <v>Garbahaarey</v>
          </cell>
          <cell r="I43">
            <v>17638</v>
          </cell>
          <cell r="J43">
            <v>16718</v>
          </cell>
          <cell r="K43">
            <v>15798</v>
          </cell>
          <cell r="L43">
            <v>15261</v>
          </cell>
          <cell r="M43">
            <v>11580</v>
          </cell>
          <cell r="N43">
            <v>11733</v>
          </cell>
          <cell r="O43">
            <v>6749</v>
          </cell>
          <cell r="P43">
            <v>6595</v>
          </cell>
          <cell r="Q43">
            <v>3298</v>
          </cell>
          <cell r="R43">
            <v>4985</v>
          </cell>
          <cell r="S43">
            <v>3758</v>
          </cell>
          <cell r="T43">
            <v>4908</v>
          </cell>
          <cell r="U43">
            <v>3604</v>
          </cell>
          <cell r="V43">
            <v>4295</v>
          </cell>
          <cell r="W43">
            <v>2914</v>
          </cell>
          <cell r="X43">
            <v>3374</v>
          </cell>
          <cell r="Y43">
            <v>3068</v>
          </cell>
          <cell r="Z43">
            <v>1764</v>
          </cell>
          <cell r="AA43">
            <v>1534</v>
          </cell>
          <cell r="AB43">
            <v>997</v>
          </cell>
          <cell r="AC43">
            <v>2377</v>
          </cell>
          <cell r="AD43">
            <v>1994</v>
          </cell>
          <cell r="AE43">
            <v>997</v>
          </cell>
          <cell r="AF43">
            <v>1074</v>
          </cell>
          <cell r="AG43">
            <v>1227</v>
          </cell>
          <cell r="AH43">
            <v>1074</v>
          </cell>
          <cell r="AI43">
            <v>460</v>
          </cell>
          <cell r="AJ43">
            <v>307</v>
          </cell>
          <cell r="AK43">
            <v>460</v>
          </cell>
          <cell r="AL43">
            <v>690</v>
          </cell>
          <cell r="AM43">
            <v>153</v>
          </cell>
          <cell r="AN43">
            <v>153</v>
          </cell>
          <cell r="AO43">
            <v>537</v>
          </cell>
          <cell r="AP43">
            <v>767</v>
          </cell>
        </row>
        <row r="44">
          <cell r="C44" t="str">
            <v xml:space="preserve">Jubaland  </v>
          </cell>
          <cell r="D44" t="str">
            <v>Gedo</v>
          </cell>
          <cell r="E44" t="str">
            <v>Luuq</v>
          </cell>
          <cell r="I44">
            <v>16808</v>
          </cell>
          <cell r="J44">
            <v>15931</v>
          </cell>
          <cell r="K44">
            <v>15054</v>
          </cell>
          <cell r="L44">
            <v>14543</v>
          </cell>
          <cell r="M44">
            <v>11035</v>
          </cell>
          <cell r="N44">
            <v>11181</v>
          </cell>
          <cell r="O44">
            <v>6431</v>
          </cell>
          <cell r="P44">
            <v>6285</v>
          </cell>
          <cell r="Q44">
            <v>3142</v>
          </cell>
          <cell r="R44">
            <v>4750</v>
          </cell>
          <cell r="S44">
            <v>3581</v>
          </cell>
          <cell r="T44">
            <v>4677</v>
          </cell>
          <cell r="U44">
            <v>3435</v>
          </cell>
          <cell r="V44">
            <v>4092</v>
          </cell>
          <cell r="W44">
            <v>2777</v>
          </cell>
          <cell r="X44">
            <v>3216</v>
          </cell>
          <cell r="Y44">
            <v>2923</v>
          </cell>
          <cell r="Z44">
            <v>1681</v>
          </cell>
          <cell r="AA44">
            <v>1462</v>
          </cell>
          <cell r="AB44">
            <v>950</v>
          </cell>
          <cell r="AC44">
            <v>2265</v>
          </cell>
          <cell r="AD44">
            <v>1900</v>
          </cell>
          <cell r="AE44">
            <v>950</v>
          </cell>
          <cell r="AF44">
            <v>1023</v>
          </cell>
          <cell r="AG44">
            <v>1169</v>
          </cell>
          <cell r="AH44">
            <v>1023</v>
          </cell>
          <cell r="AI44">
            <v>438</v>
          </cell>
          <cell r="AJ44">
            <v>292</v>
          </cell>
          <cell r="AK44">
            <v>438</v>
          </cell>
          <cell r="AL44">
            <v>658</v>
          </cell>
          <cell r="AM44">
            <v>146</v>
          </cell>
          <cell r="AN44">
            <v>146</v>
          </cell>
          <cell r="AO44">
            <v>512</v>
          </cell>
          <cell r="AP44">
            <v>731</v>
          </cell>
        </row>
        <row r="45">
          <cell r="C45" t="str">
            <v xml:space="preserve">Jubaland  </v>
          </cell>
          <cell r="D45" t="str">
            <v>Lower Juba</v>
          </cell>
          <cell r="E45" t="str">
            <v>Afmadow</v>
          </cell>
          <cell r="I45">
            <v>32841</v>
          </cell>
          <cell r="J45">
            <v>31128</v>
          </cell>
          <cell r="K45">
            <v>29415</v>
          </cell>
          <cell r="L45">
            <v>28415</v>
          </cell>
          <cell r="M45">
            <v>21561</v>
          </cell>
          <cell r="N45">
            <v>21847</v>
          </cell>
          <cell r="O45">
            <v>12565</v>
          </cell>
          <cell r="P45">
            <v>12280</v>
          </cell>
          <cell r="Q45">
            <v>6140</v>
          </cell>
          <cell r="R45">
            <v>9281</v>
          </cell>
          <cell r="S45">
            <v>6997</v>
          </cell>
          <cell r="T45">
            <v>9138</v>
          </cell>
          <cell r="U45">
            <v>6711</v>
          </cell>
          <cell r="V45">
            <v>7996</v>
          </cell>
          <cell r="W45">
            <v>5426</v>
          </cell>
          <cell r="X45">
            <v>6283</v>
          </cell>
          <cell r="Y45">
            <v>5712</v>
          </cell>
          <cell r="Z45">
            <v>3284</v>
          </cell>
          <cell r="AA45">
            <v>2856</v>
          </cell>
          <cell r="AB45">
            <v>1856</v>
          </cell>
          <cell r="AC45">
            <v>4426</v>
          </cell>
          <cell r="AD45">
            <v>3713</v>
          </cell>
          <cell r="AE45">
            <v>1856</v>
          </cell>
          <cell r="AF45">
            <v>1999</v>
          </cell>
          <cell r="AG45">
            <v>2285</v>
          </cell>
          <cell r="AH45">
            <v>1999</v>
          </cell>
          <cell r="AI45">
            <v>857</v>
          </cell>
          <cell r="AJ45">
            <v>571</v>
          </cell>
          <cell r="AK45">
            <v>857</v>
          </cell>
          <cell r="AL45">
            <v>1285</v>
          </cell>
          <cell r="AM45">
            <v>286</v>
          </cell>
          <cell r="AN45">
            <v>286</v>
          </cell>
          <cell r="AO45">
            <v>1000</v>
          </cell>
          <cell r="AP45">
            <v>1428</v>
          </cell>
        </row>
        <row r="46">
          <cell r="C46" t="str">
            <v xml:space="preserve">Jubaland  </v>
          </cell>
          <cell r="D46" t="str">
            <v>Lower Juba</v>
          </cell>
          <cell r="E46" t="str">
            <v>Badhaadhe</v>
          </cell>
          <cell r="I46">
            <v>10036</v>
          </cell>
          <cell r="J46">
            <v>9513</v>
          </cell>
          <cell r="K46">
            <v>8989</v>
          </cell>
          <cell r="L46">
            <v>8684</v>
          </cell>
          <cell r="M46">
            <v>6589</v>
          </cell>
          <cell r="N46">
            <v>6676</v>
          </cell>
          <cell r="O46">
            <v>3840</v>
          </cell>
          <cell r="P46">
            <v>3753</v>
          </cell>
          <cell r="Q46">
            <v>1876</v>
          </cell>
          <cell r="R46">
            <v>2836</v>
          </cell>
          <cell r="S46">
            <v>2138</v>
          </cell>
          <cell r="T46">
            <v>2793</v>
          </cell>
          <cell r="U46">
            <v>2051</v>
          </cell>
          <cell r="V46">
            <v>2444</v>
          </cell>
          <cell r="W46">
            <v>1658</v>
          </cell>
          <cell r="X46">
            <v>1920</v>
          </cell>
          <cell r="Y46">
            <v>1745</v>
          </cell>
          <cell r="Z46">
            <v>1004</v>
          </cell>
          <cell r="AA46">
            <v>873</v>
          </cell>
          <cell r="AB46">
            <v>567</v>
          </cell>
          <cell r="AC46">
            <v>1353</v>
          </cell>
          <cell r="AD46">
            <v>1135</v>
          </cell>
          <cell r="AE46">
            <v>567</v>
          </cell>
          <cell r="AF46">
            <v>611</v>
          </cell>
          <cell r="AG46">
            <v>698</v>
          </cell>
          <cell r="AH46">
            <v>611</v>
          </cell>
          <cell r="AI46">
            <v>262</v>
          </cell>
          <cell r="AJ46">
            <v>175</v>
          </cell>
          <cell r="AK46">
            <v>262</v>
          </cell>
          <cell r="AL46">
            <v>393</v>
          </cell>
          <cell r="AM46">
            <v>87</v>
          </cell>
          <cell r="AN46">
            <v>87</v>
          </cell>
          <cell r="AO46">
            <v>305</v>
          </cell>
          <cell r="AP46">
            <v>436</v>
          </cell>
        </row>
        <row r="47">
          <cell r="C47" t="str">
            <v xml:space="preserve">Jubaland  </v>
          </cell>
          <cell r="D47" t="str">
            <v>Lower Juba</v>
          </cell>
          <cell r="E47" t="str">
            <v>Jamaame</v>
          </cell>
          <cell r="I47">
            <v>52235</v>
          </cell>
          <cell r="J47">
            <v>49510</v>
          </cell>
          <cell r="K47">
            <v>46784</v>
          </cell>
          <cell r="L47">
            <v>45195</v>
          </cell>
          <cell r="M47">
            <v>34293</v>
          </cell>
          <cell r="N47">
            <v>34748</v>
          </cell>
          <cell r="O47">
            <v>19986</v>
          </cell>
          <cell r="P47">
            <v>19531</v>
          </cell>
          <cell r="Q47">
            <v>9766</v>
          </cell>
          <cell r="R47">
            <v>14762</v>
          </cell>
          <cell r="S47">
            <v>11128</v>
          </cell>
          <cell r="T47">
            <v>14535</v>
          </cell>
          <cell r="U47">
            <v>10674</v>
          </cell>
          <cell r="V47">
            <v>12718</v>
          </cell>
          <cell r="W47">
            <v>8630</v>
          </cell>
          <cell r="X47">
            <v>9993</v>
          </cell>
          <cell r="Y47">
            <v>9084</v>
          </cell>
          <cell r="Z47">
            <v>5223</v>
          </cell>
          <cell r="AA47">
            <v>4542</v>
          </cell>
          <cell r="AB47">
            <v>2952</v>
          </cell>
          <cell r="AC47">
            <v>7040</v>
          </cell>
          <cell r="AD47">
            <v>5905</v>
          </cell>
          <cell r="AE47">
            <v>2952</v>
          </cell>
          <cell r="AF47">
            <v>3180</v>
          </cell>
          <cell r="AG47">
            <v>3634</v>
          </cell>
          <cell r="AH47">
            <v>3180</v>
          </cell>
          <cell r="AI47">
            <v>1363</v>
          </cell>
          <cell r="AJ47">
            <v>908</v>
          </cell>
          <cell r="AK47">
            <v>1363</v>
          </cell>
          <cell r="AL47">
            <v>2044</v>
          </cell>
          <cell r="AM47">
            <v>454</v>
          </cell>
          <cell r="AN47">
            <v>454</v>
          </cell>
          <cell r="AO47">
            <v>1590</v>
          </cell>
          <cell r="AP47">
            <v>2271</v>
          </cell>
        </row>
        <row r="48">
          <cell r="C48" t="str">
            <v xml:space="preserve">Jubaland  </v>
          </cell>
          <cell r="D48" t="str">
            <v>Lower Juba</v>
          </cell>
          <cell r="E48" t="str">
            <v>Kismaayo</v>
          </cell>
          <cell r="I48">
            <v>42711</v>
          </cell>
          <cell r="J48">
            <v>40483</v>
          </cell>
          <cell r="K48">
            <v>38255</v>
          </cell>
          <cell r="L48">
            <v>36955</v>
          </cell>
          <cell r="M48">
            <v>28041</v>
          </cell>
          <cell r="N48">
            <v>28412</v>
          </cell>
          <cell r="O48">
            <v>16342</v>
          </cell>
          <cell r="P48">
            <v>15970</v>
          </cell>
          <cell r="Q48">
            <v>7985</v>
          </cell>
          <cell r="R48">
            <v>12071</v>
          </cell>
          <cell r="S48">
            <v>9099</v>
          </cell>
          <cell r="T48">
            <v>11885</v>
          </cell>
          <cell r="U48">
            <v>8728</v>
          </cell>
          <cell r="V48">
            <v>10399</v>
          </cell>
          <cell r="W48">
            <v>7057</v>
          </cell>
          <cell r="X48">
            <v>8171</v>
          </cell>
          <cell r="Y48">
            <v>7428</v>
          </cell>
          <cell r="Z48">
            <v>4271</v>
          </cell>
          <cell r="AA48">
            <v>3714</v>
          </cell>
          <cell r="AB48">
            <v>2414</v>
          </cell>
          <cell r="AC48">
            <v>5757</v>
          </cell>
          <cell r="AD48">
            <v>4828</v>
          </cell>
          <cell r="AE48">
            <v>2414</v>
          </cell>
          <cell r="AF48">
            <v>2600</v>
          </cell>
          <cell r="AG48">
            <v>2971</v>
          </cell>
          <cell r="AH48">
            <v>2600</v>
          </cell>
          <cell r="AI48">
            <v>1114</v>
          </cell>
          <cell r="AJ48">
            <v>743</v>
          </cell>
          <cell r="AK48">
            <v>1114</v>
          </cell>
          <cell r="AL48">
            <v>1671</v>
          </cell>
          <cell r="AM48">
            <v>371</v>
          </cell>
          <cell r="AN48">
            <v>371</v>
          </cell>
          <cell r="AO48">
            <v>1300</v>
          </cell>
          <cell r="AP48">
            <v>1857</v>
          </cell>
        </row>
        <row r="49">
          <cell r="C49" t="str">
            <v xml:space="preserve">Jubaland  </v>
          </cell>
          <cell r="D49" t="str">
            <v>Middle Juba</v>
          </cell>
          <cell r="E49" t="str">
            <v>Bu'aale</v>
          </cell>
          <cell r="I49">
            <v>17770</v>
          </cell>
          <cell r="J49">
            <v>16843</v>
          </cell>
          <cell r="K49">
            <v>15916</v>
          </cell>
          <cell r="L49">
            <v>15375</v>
          </cell>
          <cell r="M49">
            <v>11667</v>
          </cell>
          <cell r="N49">
            <v>11821</v>
          </cell>
          <cell r="O49">
            <v>6799</v>
          </cell>
          <cell r="P49">
            <v>6645</v>
          </cell>
          <cell r="Q49">
            <v>3322</v>
          </cell>
          <cell r="R49">
            <v>5022</v>
          </cell>
          <cell r="S49">
            <v>3786</v>
          </cell>
          <cell r="T49">
            <v>4945</v>
          </cell>
          <cell r="U49">
            <v>3631</v>
          </cell>
          <cell r="V49">
            <v>4327</v>
          </cell>
          <cell r="W49">
            <v>2936</v>
          </cell>
          <cell r="X49">
            <v>3400</v>
          </cell>
          <cell r="Y49">
            <v>3090</v>
          </cell>
          <cell r="Z49">
            <v>1777</v>
          </cell>
          <cell r="AA49">
            <v>1545</v>
          </cell>
          <cell r="AB49">
            <v>1004</v>
          </cell>
          <cell r="AC49">
            <v>2395</v>
          </cell>
          <cell r="AD49">
            <v>2009</v>
          </cell>
          <cell r="AE49">
            <v>1004</v>
          </cell>
          <cell r="AF49">
            <v>1082</v>
          </cell>
          <cell r="AG49">
            <v>1236</v>
          </cell>
          <cell r="AH49">
            <v>1082</v>
          </cell>
          <cell r="AI49">
            <v>464</v>
          </cell>
          <cell r="AJ49">
            <v>309</v>
          </cell>
          <cell r="AK49">
            <v>464</v>
          </cell>
          <cell r="AL49">
            <v>695</v>
          </cell>
          <cell r="AM49">
            <v>155</v>
          </cell>
          <cell r="AN49">
            <v>155</v>
          </cell>
          <cell r="AO49">
            <v>541</v>
          </cell>
          <cell r="AP49">
            <v>773</v>
          </cell>
        </row>
        <row r="50">
          <cell r="C50" t="str">
            <v xml:space="preserve">Jubaland  </v>
          </cell>
          <cell r="D50" t="str">
            <v>Middle Juba</v>
          </cell>
          <cell r="E50" t="str">
            <v>Jilib</v>
          </cell>
          <cell r="I50">
            <v>20101</v>
          </cell>
          <cell r="J50">
            <v>19053</v>
          </cell>
          <cell r="K50">
            <v>18004</v>
          </cell>
          <cell r="L50">
            <v>17392</v>
          </cell>
          <cell r="M50">
            <v>13197</v>
          </cell>
          <cell r="N50">
            <v>13372</v>
          </cell>
          <cell r="O50">
            <v>7691</v>
          </cell>
          <cell r="P50">
            <v>7516</v>
          </cell>
          <cell r="Q50">
            <v>3758</v>
          </cell>
          <cell r="R50">
            <v>5681</v>
          </cell>
          <cell r="S50">
            <v>4282</v>
          </cell>
          <cell r="T50">
            <v>5593</v>
          </cell>
          <cell r="U50">
            <v>4108</v>
          </cell>
          <cell r="V50">
            <v>4894</v>
          </cell>
          <cell r="W50">
            <v>3321</v>
          </cell>
          <cell r="X50">
            <v>3845</v>
          </cell>
          <cell r="Y50">
            <v>3496</v>
          </cell>
          <cell r="Z50">
            <v>2010</v>
          </cell>
          <cell r="AA50">
            <v>1748</v>
          </cell>
          <cell r="AB50">
            <v>1136</v>
          </cell>
          <cell r="AC50">
            <v>2709</v>
          </cell>
          <cell r="AD50">
            <v>2272</v>
          </cell>
          <cell r="AE50">
            <v>1136</v>
          </cell>
          <cell r="AF50">
            <v>1224</v>
          </cell>
          <cell r="AG50">
            <v>1398</v>
          </cell>
          <cell r="AH50">
            <v>1224</v>
          </cell>
          <cell r="AI50">
            <v>524</v>
          </cell>
          <cell r="AJ50">
            <v>350</v>
          </cell>
          <cell r="AK50">
            <v>524</v>
          </cell>
          <cell r="AL50">
            <v>787</v>
          </cell>
          <cell r="AM50">
            <v>175</v>
          </cell>
          <cell r="AN50">
            <v>175</v>
          </cell>
          <cell r="AO50">
            <v>612</v>
          </cell>
          <cell r="AP50">
            <v>874</v>
          </cell>
        </row>
        <row r="51">
          <cell r="C51" t="str">
            <v xml:space="preserve">Jubaland  </v>
          </cell>
          <cell r="D51" t="str">
            <v>Middle Juba</v>
          </cell>
          <cell r="E51" t="str">
            <v>Saakow</v>
          </cell>
          <cell r="I51">
            <v>13311</v>
          </cell>
          <cell r="J51">
            <v>12616</v>
          </cell>
          <cell r="K51">
            <v>11922</v>
          </cell>
          <cell r="L51">
            <v>11517</v>
          </cell>
          <cell r="M51">
            <v>8739</v>
          </cell>
          <cell r="N51">
            <v>8854</v>
          </cell>
          <cell r="O51">
            <v>5093</v>
          </cell>
          <cell r="P51">
            <v>4977</v>
          </cell>
          <cell r="Q51">
            <v>2489</v>
          </cell>
          <cell r="R51">
            <v>3762</v>
          </cell>
          <cell r="S51">
            <v>2836</v>
          </cell>
          <cell r="T51">
            <v>3704</v>
          </cell>
          <cell r="U51">
            <v>2720</v>
          </cell>
          <cell r="V51">
            <v>3241</v>
          </cell>
          <cell r="W51">
            <v>2199</v>
          </cell>
          <cell r="X51">
            <v>2546</v>
          </cell>
          <cell r="Y51">
            <v>2315</v>
          </cell>
          <cell r="Z51">
            <v>1331</v>
          </cell>
          <cell r="AA51">
            <v>1157</v>
          </cell>
          <cell r="AB51">
            <v>752</v>
          </cell>
          <cell r="AC51">
            <v>1794</v>
          </cell>
          <cell r="AD51">
            <v>1505</v>
          </cell>
          <cell r="AE51">
            <v>752</v>
          </cell>
          <cell r="AF51">
            <v>810</v>
          </cell>
          <cell r="AG51">
            <v>926</v>
          </cell>
          <cell r="AH51">
            <v>810</v>
          </cell>
          <cell r="AI51">
            <v>347</v>
          </cell>
          <cell r="AJ51">
            <v>231</v>
          </cell>
          <cell r="AK51">
            <v>347</v>
          </cell>
          <cell r="AL51">
            <v>521</v>
          </cell>
          <cell r="AM51">
            <v>116</v>
          </cell>
          <cell r="AN51">
            <v>116</v>
          </cell>
          <cell r="AO51">
            <v>405</v>
          </cell>
          <cell r="AP51">
            <v>579</v>
          </cell>
        </row>
        <row r="52">
          <cell r="C52" t="str">
            <v xml:space="preserve">Puntland  </v>
          </cell>
          <cell r="D52" t="str">
            <v>Bari</v>
          </cell>
          <cell r="E52" t="str">
            <v>Bandarbeyla</v>
          </cell>
          <cell r="I52">
            <v>5570</v>
          </cell>
          <cell r="J52">
            <v>4871</v>
          </cell>
          <cell r="K52">
            <v>5441</v>
          </cell>
          <cell r="L52">
            <v>4715</v>
          </cell>
          <cell r="M52">
            <v>3964</v>
          </cell>
          <cell r="N52">
            <v>3757</v>
          </cell>
          <cell r="O52">
            <v>2591</v>
          </cell>
          <cell r="P52">
            <v>3057</v>
          </cell>
          <cell r="Q52">
            <v>1347</v>
          </cell>
          <cell r="R52">
            <v>1736</v>
          </cell>
          <cell r="S52">
            <v>1088</v>
          </cell>
          <cell r="T52">
            <v>1788</v>
          </cell>
          <cell r="U52">
            <v>1166</v>
          </cell>
          <cell r="V52">
            <v>1399</v>
          </cell>
          <cell r="W52">
            <v>907</v>
          </cell>
          <cell r="X52">
            <v>1166</v>
          </cell>
          <cell r="Y52">
            <v>1062</v>
          </cell>
          <cell r="Z52">
            <v>648</v>
          </cell>
          <cell r="AA52">
            <v>492</v>
          </cell>
          <cell r="AB52">
            <v>337</v>
          </cell>
          <cell r="AC52">
            <v>674</v>
          </cell>
          <cell r="AD52">
            <v>881</v>
          </cell>
          <cell r="AE52">
            <v>285</v>
          </cell>
          <cell r="AF52">
            <v>311</v>
          </cell>
          <cell r="AG52">
            <v>466</v>
          </cell>
          <cell r="AH52">
            <v>440</v>
          </cell>
          <cell r="AI52">
            <v>104</v>
          </cell>
          <cell r="AJ52">
            <v>155</v>
          </cell>
          <cell r="AK52">
            <v>259</v>
          </cell>
          <cell r="AL52">
            <v>285</v>
          </cell>
          <cell r="AM52">
            <v>52</v>
          </cell>
          <cell r="AN52">
            <v>78</v>
          </cell>
          <cell r="AO52">
            <v>311</v>
          </cell>
          <cell r="AP52">
            <v>311</v>
          </cell>
        </row>
        <row r="53">
          <cell r="C53" t="str">
            <v xml:space="preserve">Puntland  </v>
          </cell>
          <cell r="D53" t="str">
            <v>Bari</v>
          </cell>
          <cell r="E53" t="str">
            <v>Bossaso</v>
          </cell>
          <cell r="I53">
            <v>88128</v>
          </cell>
          <cell r="J53">
            <v>77061</v>
          </cell>
          <cell r="K53">
            <v>86079</v>
          </cell>
          <cell r="L53">
            <v>74602</v>
          </cell>
          <cell r="M53">
            <v>62714</v>
          </cell>
          <cell r="N53">
            <v>59435</v>
          </cell>
          <cell r="O53">
            <v>40990</v>
          </cell>
          <cell r="P53">
            <v>48368</v>
          </cell>
          <cell r="Q53">
            <v>21315</v>
          </cell>
          <cell r="R53">
            <v>27463</v>
          </cell>
          <cell r="S53">
            <v>17216</v>
          </cell>
          <cell r="T53">
            <v>28283</v>
          </cell>
          <cell r="U53">
            <v>18445</v>
          </cell>
          <cell r="V53">
            <v>22135</v>
          </cell>
          <cell r="W53">
            <v>14346</v>
          </cell>
          <cell r="X53">
            <v>18445</v>
          </cell>
          <cell r="Y53">
            <v>16806</v>
          </cell>
          <cell r="Z53">
            <v>10247</v>
          </cell>
          <cell r="AA53">
            <v>7788</v>
          </cell>
          <cell r="AB53">
            <v>5329</v>
          </cell>
          <cell r="AC53">
            <v>10657</v>
          </cell>
          <cell r="AD53">
            <v>13937</v>
          </cell>
          <cell r="AE53">
            <v>4509</v>
          </cell>
          <cell r="AF53">
            <v>4919</v>
          </cell>
          <cell r="AG53">
            <v>7378</v>
          </cell>
          <cell r="AH53">
            <v>6968</v>
          </cell>
          <cell r="AI53">
            <v>1640</v>
          </cell>
          <cell r="AJ53">
            <v>2459</v>
          </cell>
          <cell r="AK53">
            <v>4099</v>
          </cell>
          <cell r="AL53">
            <v>4509</v>
          </cell>
          <cell r="AM53">
            <v>820</v>
          </cell>
          <cell r="AN53">
            <v>1230</v>
          </cell>
          <cell r="AO53">
            <v>4919</v>
          </cell>
          <cell r="AP53">
            <v>4919</v>
          </cell>
        </row>
        <row r="54">
          <cell r="C54" t="str">
            <v xml:space="preserve">Puntland  </v>
          </cell>
          <cell r="D54" t="str">
            <v>Bari</v>
          </cell>
          <cell r="E54" t="str">
            <v>Caluula</v>
          </cell>
          <cell r="I54">
            <v>10612</v>
          </cell>
          <cell r="J54">
            <v>9279</v>
          </cell>
          <cell r="K54">
            <v>10365</v>
          </cell>
          <cell r="L54">
            <v>8983</v>
          </cell>
          <cell r="M54">
            <v>7552</v>
          </cell>
          <cell r="N54">
            <v>7157</v>
          </cell>
          <cell r="O54">
            <v>4936</v>
          </cell>
          <cell r="P54">
            <v>5824</v>
          </cell>
          <cell r="Q54">
            <v>2567</v>
          </cell>
          <cell r="R54">
            <v>3307</v>
          </cell>
          <cell r="S54">
            <v>2073</v>
          </cell>
          <cell r="T54">
            <v>3406</v>
          </cell>
          <cell r="U54">
            <v>2221</v>
          </cell>
          <cell r="V54">
            <v>2665</v>
          </cell>
          <cell r="W54">
            <v>1728</v>
          </cell>
          <cell r="X54">
            <v>2221</v>
          </cell>
          <cell r="Y54">
            <v>2024</v>
          </cell>
          <cell r="Z54">
            <v>1234</v>
          </cell>
          <cell r="AA54">
            <v>938</v>
          </cell>
          <cell r="AB54">
            <v>642</v>
          </cell>
          <cell r="AC54">
            <v>1283</v>
          </cell>
          <cell r="AD54">
            <v>1678</v>
          </cell>
          <cell r="AE54">
            <v>543</v>
          </cell>
          <cell r="AF54">
            <v>592</v>
          </cell>
          <cell r="AG54">
            <v>888</v>
          </cell>
          <cell r="AH54">
            <v>839</v>
          </cell>
          <cell r="AI54">
            <v>197</v>
          </cell>
          <cell r="AJ54">
            <v>296</v>
          </cell>
          <cell r="AK54">
            <v>494</v>
          </cell>
          <cell r="AL54">
            <v>543</v>
          </cell>
          <cell r="AM54">
            <v>99</v>
          </cell>
          <cell r="AN54">
            <v>148</v>
          </cell>
          <cell r="AO54">
            <v>592</v>
          </cell>
          <cell r="AP54">
            <v>592</v>
          </cell>
        </row>
        <row r="55">
          <cell r="C55" t="str">
            <v xml:space="preserve">Puntland  </v>
          </cell>
          <cell r="D55" t="str">
            <v>Bari</v>
          </cell>
          <cell r="E55" t="str">
            <v>Iskushuban</v>
          </cell>
          <cell r="I55">
            <v>6682</v>
          </cell>
          <cell r="J55">
            <v>5843</v>
          </cell>
          <cell r="K55">
            <v>6526</v>
          </cell>
          <cell r="L55">
            <v>5656</v>
          </cell>
          <cell r="M55">
            <v>4755</v>
          </cell>
          <cell r="N55">
            <v>4506</v>
          </cell>
          <cell r="O55">
            <v>3108</v>
          </cell>
          <cell r="P55">
            <v>3667</v>
          </cell>
          <cell r="Q55">
            <v>1616</v>
          </cell>
          <cell r="R55">
            <v>2082</v>
          </cell>
          <cell r="S55">
            <v>1305</v>
          </cell>
          <cell r="T55">
            <v>2144</v>
          </cell>
          <cell r="U55">
            <v>1399</v>
          </cell>
          <cell r="V55">
            <v>1678</v>
          </cell>
          <cell r="W55">
            <v>1088</v>
          </cell>
          <cell r="X55">
            <v>1399</v>
          </cell>
          <cell r="Y55">
            <v>1274</v>
          </cell>
          <cell r="Z55">
            <v>777</v>
          </cell>
          <cell r="AA55">
            <v>590</v>
          </cell>
          <cell r="AB55">
            <v>404</v>
          </cell>
          <cell r="AC55">
            <v>808</v>
          </cell>
          <cell r="AD55">
            <v>1057</v>
          </cell>
          <cell r="AE55">
            <v>342</v>
          </cell>
          <cell r="AF55">
            <v>373</v>
          </cell>
          <cell r="AG55">
            <v>559</v>
          </cell>
          <cell r="AH55">
            <v>528</v>
          </cell>
          <cell r="AI55">
            <v>124</v>
          </cell>
          <cell r="AJ55">
            <v>186</v>
          </cell>
          <cell r="AK55">
            <v>311</v>
          </cell>
          <cell r="AL55">
            <v>342</v>
          </cell>
          <cell r="AM55">
            <v>62</v>
          </cell>
          <cell r="AN55">
            <v>93</v>
          </cell>
          <cell r="AO55">
            <v>373</v>
          </cell>
          <cell r="AP55">
            <v>373</v>
          </cell>
        </row>
        <row r="56">
          <cell r="C56" t="str">
            <v xml:space="preserve">Puntland  </v>
          </cell>
          <cell r="D56" t="str">
            <v>Bari</v>
          </cell>
          <cell r="E56" t="str">
            <v>Qandala</v>
          </cell>
          <cell r="I56">
            <v>7153</v>
          </cell>
          <cell r="J56">
            <v>6255</v>
          </cell>
          <cell r="K56">
            <v>6986</v>
          </cell>
          <cell r="L56">
            <v>6055</v>
          </cell>
          <cell r="M56">
            <v>5090</v>
          </cell>
          <cell r="N56">
            <v>4824</v>
          </cell>
          <cell r="O56">
            <v>3327</v>
          </cell>
          <cell r="P56">
            <v>3926</v>
          </cell>
          <cell r="Q56">
            <v>1730</v>
          </cell>
          <cell r="R56">
            <v>2229</v>
          </cell>
          <cell r="S56">
            <v>1397</v>
          </cell>
          <cell r="T56">
            <v>2296</v>
          </cell>
          <cell r="U56">
            <v>1497</v>
          </cell>
          <cell r="V56">
            <v>1797</v>
          </cell>
          <cell r="W56">
            <v>1164</v>
          </cell>
          <cell r="X56">
            <v>1497</v>
          </cell>
          <cell r="Y56">
            <v>1364</v>
          </cell>
          <cell r="Z56">
            <v>832</v>
          </cell>
          <cell r="AA56">
            <v>632</v>
          </cell>
          <cell r="AB56">
            <v>432</v>
          </cell>
          <cell r="AC56">
            <v>865</v>
          </cell>
          <cell r="AD56">
            <v>1131</v>
          </cell>
          <cell r="AE56">
            <v>366</v>
          </cell>
          <cell r="AF56">
            <v>399</v>
          </cell>
          <cell r="AG56">
            <v>599</v>
          </cell>
          <cell r="AH56">
            <v>566</v>
          </cell>
          <cell r="AI56">
            <v>133</v>
          </cell>
          <cell r="AJ56">
            <v>200</v>
          </cell>
          <cell r="AK56">
            <v>333</v>
          </cell>
          <cell r="AL56">
            <v>366</v>
          </cell>
          <cell r="AM56">
            <v>67</v>
          </cell>
          <cell r="AN56">
            <v>100</v>
          </cell>
          <cell r="AO56">
            <v>399</v>
          </cell>
          <cell r="AP56">
            <v>399</v>
          </cell>
        </row>
        <row r="57">
          <cell r="C57" t="str">
            <v xml:space="preserve">Puntland  </v>
          </cell>
          <cell r="D57" t="str">
            <v>Bari</v>
          </cell>
          <cell r="E57" t="str">
            <v>Qardho</v>
          </cell>
          <cell r="I57">
            <v>18713</v>
          </cell>
          <cell r="J57">
            <v>16363</v>
          </cell>
          <cell r="K57">
            <v>18278</v>
          </cell>
          <cell r="L57">
            <v>15841</v>
          </cell>
          <cell r="M57">
            <v>13317</v>
          </cell>
          <cell r="N57">
            <v>12620</v>
          </cell>
          <cell r="O57">
            <v>8704</v>
          </cell>
          <cell r="P57">
            <v>10270</v>
          </cell>
          <cell r="Q57">
            <v>4526</v>
          </cell>
          <cell r="R57">
            <v>5832</v>
          </cell>
          <cell r="S57">
            <v>3656</v>
          </cell>
          <cell r="T57">
            <v>6006</v>
          </cell>
          <cell r="U57">
            <v>3917</v>
          </cell>
          <cell r="V57">
            <v>4700</v>
          </cell>
          <cell r="W57">
            <v>3046</v>
          </cell>
          <cell r="X57">
            <v>3917</v>
          </cell>
          <cell r="Y57">
            <v>3569</v>
          </cell>
          <cell r="Z57">
            <v>2176</v>
          </cell>
          <cell r="AA57">
            <v>1654</v>
          </cell>
          <cell r="AB57">
            <v>1131</v>
          </cell>
          <cell r="AC57">
            <v>2263</v>
          </cell>
          <cell r="AD57">
            <v>2959</v>
          </cell>
          <cell r="AE57">
            <v>957</v>
          </cell>
          <cell r="AF57">
            <v>1044</v>
          </cell>
          <cell r="AG57">
            <v>1567</v>
          </cell>
          <cell r="AH57">
            <v>1480</v>
          </cell>
          <cell r="AI57">
            <v>348</v>
          </cell>
          <cell r="AJ57">
            <v>522</v>
          </cell>
          <cell r="AK57">
            <v>870</v>
          </cell>
          <cell r="AL57">
            <v>957</v>
          </cell>
          <cell r="AM57">
            <v>174</v>
          </cell>
          <cell r="AN57">
            <v>261</v>
          </cell>
          <cell r="AO57">
            <v>1044</v>
          </cell>
          <cell r="AP57">
            <v>1044</v>
          </cell>
        </row>
        <row r="58">
          <cell r="C58" t="str">
            <v xml:space="preserve">Puntland  </v>
          </cell>
          <cell r="D58" t="str">
            <v>Nugaal</v>
          </cell>
          <cell r="E58" t="str">
            <v>Burtinle</v>
          </cell>
          <cell r="I58">
            <v>14463</v>
          </cell>
          <cell r="J58">
            <v>12647</v>
          </cell>
          <cell r="K58">
            <v>14127</v>
          </cell>
          <cell r="L58">
            <v>12243</v>
          </cell>
          <cell r="M58">
            <v>10293</v>
          </cell>
          <cell r="N58">
            <v>9754</v>
          </cell>
          <cell r="O58">
            <v>6727</v>
          </cell>
          <cell r="P58">
            <v>7938</v>
          </cell>
          <cell r="Q58">
            <v>3498</v>
          </cell>
          <cell r="R58">
            <v>4507</v>
          </cell>
          <cell r="S58">
            <v>2825</v>
          </cell>
          <cell r="T58">
            <v>4642</v>
          </cell>
          <cell r="U58">
            <v>3027</v>
          </cell>
          <cell r="V58">
            <v>3633</v>
          </cell>
          <cell r="W58">
            <v>2355</v>
          </cell>
          <cell r="X58">
            <v>3027</v>
          </cell>
          <cell r="Y58">
            <v>2758</v>
          </cell>
          <cell r="Z58">
            <v>1682</v>
          </cell>
          <cell r="AA58">
            <v>1278</v>
          </cell>
          <cell r="AB58">
            <v>875</v>
          </cell>
          <cell r="AC58">
            <v>1749</v>
          </cell>
          <cell r="AD58">
            <v>2287</v>
          </cell>
          <cell r="AE58">
            <v>740</v>
          </cell>
          <cell r="AF58">
            <v>807</v>
          </cell>
          <cell r="AG58">
            <v>1211</v>
          </cell>
          <cell r="AH58">
            <v>1144</v>
          </cell>
          <cell r="AI58">
            <v>269</v>
          </cell>
          <cell r="AJ58">
            <v>404</v>
          </cell>
          <cell r="AK58">
            <v>673</v>
          </cell>
          <cell r="AL58">
            <v>740</v>
          </cell>
          <cell r="AM58">
            <v>135</v>
          </cell>
          <cell r="AN58">
            <v>202</v>
          </cell>
          <cell r="AO58">
            <v>807</v>
          </cell>
          <cell r="AP58">
            <v>807</v>
          </cell>
        </row>
        <row r="59">
          <cell r="C59" t="str">
            <v xml:space="preserve">Puntland  </v>
          </cell>
          <cell r="D59" t="str">
            <v>Nugaal</v>
          </cell>
          <cell r="E59" t="str">
            <v>Eyl</v>
          </cell>
          <cell r="I59">
            <v>18881</v>
          </cell>
          <cell r="J59">
            <v>16510</v>
          </cell>
          <cell r="K59">
            <v>18442</v>
          </cell>
          <cell r="L59">
            <v>15983</v>
          </cell>
          <cell r="M59">
            <v>13436</v>
          </cell>
          <cell r="N59">
            <v>12734</v>
          </cell>
          <cell r="O59">
            <v>8782</v>
          </cell>
          <cell r="P59">
            <v>10362</v>
          </cell>
          <cell r="Q59">
            <v>4567</v>
          </cell>
          <cell r="R59">
            <v>5884</v>
          </cell>
          <cell r="S59">
            <v>3688</v>
          </cell>
          <cell r="T59">
            <v>6059</v>
          </cell>
          <cell r="U59">
            <v>3952</v>
          </cell>
          <cell r="V59">
            <v>4742</v>
          </cell>
          <cell r="W59">
            <v>3074</v>
          </cell>
          <cell r="X59">
            <v>3952</v>
          </cell>
          <cell r="Y59">
            <v>3601</v>
          </cell>
          <cell r="Z59">
            <v>2195</v>
          </cell>
          <cell r="AA59">
            <v>1669</v>
          </cell>
          <cell r="AB59">
            <v>1142</v>
          </cell>
          <cell r="AC59">
            <v>2283</v>
          </cell>
          <cell r="AD59">
            <v>2986</v>
          </cell>
          <cell r="AE59">
            <v>966</v>
          </cell>
          <cell r="AF59">
            <v>1054</v>
          </cell>
          <cell r="AG59">
            <v>1581</v>
          </cell>
          <cell r="AH59">
            <v>1493</v>
          </cell>
          <cell r="AI59">
            <v>351</v>
          </cell>
          <cell r="AJ59">
            <v>527</v>
          </cell>
          <cell r="AK59">
            <v>878</v>
          </cell>
          <cell r="AL59">
            <v>966</v>
          </cell>
          <cell r="AM59">
            <v>176</v>
          </cell>
          <cell r="AN59">
            <v>263</v>
          </cell>
          <cell r="AO59">
            <v>1054</v>
          </cell>
          <cell r="AP59">
            <v>1054</v>
          </cell>
        </row>
        <row r="60">
          <cell r="C60" t="str">
            <v xml:space="preserve">Puntland  </v>
          </cell>
          <cell r="D60" t="str">
            <v>Nugaal</v>
          </cell>
          <cell r="E60" t="str">
            <v>Garoowe</v>
          </cell>
          <cell r="I60">
            <v>36828</v>
          </cell>
          <cell r="J60">
            <v>32203</v>
          </cell>
          <cell r="K60">
            <v>35972</v>
          </cell>
          <cell r="L60">
            <v>31175</v>
          </cell>
          <cell r="M60">
            <v>26208</v>
          </cell>
          <cell r="N60">
            <v>24838</v>
          </cell>
          <cell r="O60">
            <v>17129</v>
          </cell>
          <cell r="P60">
            <v>20213</v>
          </cell>
          <cell r="Q60">
            <v>8907</v>
          </cell>
          <cell r="R60">
            <v>11477</v>
          </cell>
          <cell r="S60">
            <v>7194</v>
          </cell>
          <cell r="T60">
            <v>11819</v>
          </cell>
          <cell r="U60">
            <v>7708</v>
          </cell>
          <cell r="V60">
            <v>9250</v>
          </cell>
          <cell r="W60">
            <v>5995</v>
          </cell>
          <cell r="X60">
            <v>7708</v>
          </cell>
          <cell r="Y60">
            <v>7023</v>
          </cell>
          <cell r="Z60">
            <v>4282</v>
          </cell>
          <cell r="AA60">
            <v>3255</v>
          </cell>
          <cell r="AB60">
            <v>2227</v>
          </cell>
          <cell r="AC60">
            <v>4454</v>
          </cell>
          <cell r="AD60">
            <v>5824</v>
          </cell>
          <cell r="AE60">
            <v>1884</v>
          </cell>
          <cell r="AF60">
            <v>2056</v>
          </cell>
          <cell r="AG60">
            <v>3083</v>
          </cell>
          <cell r="AH60">
            <v>2912</v>
          </cell>
          <cell r="AI60">
            <v>685</v>
          </cell>
          <cell r="AJ60">
            <v>1028</v>
          </cell>
          <cell r="AK60">
            <v>1713</v>
          </cell>
          <cell r="AL60">
            <v>1884</v>
          </cell>
          <cell r="AM60">
            <v>343</v>
          </cell>
          <cell r="AN60">
            <v>514</v>
          </cell>
          <cell r="AO60">
            <v>2056</v>
          </cell>
          <cell r="AP60">
            <v>2056</v>
          </cell>
        </row>
        <row r="61">
          <cell r="C61" t="str">
            <v xml:space="preserve">Somaliland  </v>
          </cell>
          <cell r="D61" t="str">
            <v>Awdal</v>
          </cell>
          <cell r="E61" t="str">
            <v>Baki</v>
          </cell>
          <cell r="I61">
            <v>6927</v>
          </cell>
          <cell r="J61">
            <v>6412</v>
          </cell>
          <cell r="K61">
            <v>6755</v>
          </cell>
          <cell r="L61">
            <v>6104</v>
          </cell>
          <cell r="M61">
            <v>5418</v>
          </cell>
          <cell r="N61">
            <v>5144</v>
          </cell>
          <cell r="O61">
            <v>3635</v>
          </cell>
          <cell r="P61">
            <v>3738</v>
          </cell>
          <cell r="Q61">
            <v>2023</v>
          </cell>
          <cell r="R61">
            <v>2435</v>
          </cell>
          <cell r="S61">
            <v>1646</v>
          </cell>
          <cell r="T61">
            <v>2366</v>
          </cell>
          <cell r="U61">
            <v>1509</v>
          </cell>
          <cell r="V61">
            <v>1749</v>
          </cell>
          <cell r="W61">
            <v>1269</v>
          </cell>
          <cell r="X61">
            <v>1509</v>
          </cell>
          <cell r="Y61">
            <v>1166</v>
          </cell>
          <cell r="Z61">
            <v>857</v>
          </cell>
          <cell r="AA61">
            <v>652</v>
          </cell>
          <cell r="AB61">
            <v>514</v>
          </cell>
          <cell r="AC61">
            <v>892</v>
          </cell>
          <cell r="AD61">
            <v>1234</v>
          </cell>
          <cell r="AE61">
            <v>411</v>
          </cell>
          <cell r="AF61">
            <v>480</v>
          </cell>
          <cell r="AG61">
            <v>652</v>
          </cell>
          <cell r="AH61">
            <v>549</v>
          </cell>
          <cell r="AI61">
            <v>206</v>
          </cell>
          <cell r="AJ61">
            <v>240</v>
          </cell>
          <cell r="AK61">
            <v>343</v>
          </cell>
          <cell r="AL61">
            <v>411</v>
          </cell>
          <cell r="AM61">
            <v>103</v>
          </cell>
          <cell r="AN61">
            <v>103</v>
          </cell>
          <cell r="AO61">
            <v>309</v>
          </cell>
          <cell r="AP61">
            <v>411</v>
          </cell>
        </row>
        <row r="62">
          <cell r="C62" t="str">
            <v xml:space="preserve">Somaliland  </v>
          </cell>
          <cell r="D62" t="str">
            <v>Awdal</v>
          </cell>
          <cell r="E62" t="str">
            <v>Borama</v>
          </cell>
          <cell r="I62">
            <v>45218</v>
          </cell>
          <cell r="J62">
            <v>41860</v>
          </cell>
          <cell r="K62">
            <v>44099</v>
          </cell>
          <cell r="L62">
            <v>39846</v>
          </cell>
          <cell r="M62">
            <v>35368</v>
          </cell>
          <cell r="N62">
            <v>33578</v>
          </cell>
          <cell r="O62">
            <v>23728</v>
          </cell>
          <cell r="P62">
            <v>24400</v>
          </cell>
          <cell r="Q62">
            <v>13207</v>
          </cell>
          <cell r="R62">
            <v>15893</v>
          </cell>
          <cell r="S62">
            <v>10745</v>
          </cell>
          <cell r="T62">
            <v>15446</v>
          </cell>
          <cell r="U62">
            <v>9849</v>
          </cell>
          <cell r="V62">
            <v>11416</v>
          </cell>
          <cell r="W62">
            <v>8282</v>
          </cell>
          <cell r="X62">
            <v>9849</v>
          </cell>
          <cell r="Y62">
            <v>7611</v>
          </cell>
          <cell r="Z62">
            <v>5596</v>
          </cell>
          <cell r="AA62">
            <v>4253</v>
          </cell>
          <cell r="AB62">
            <v>3358</v>
          </cell>
          <cell r="AC62">
            <v>5820</v>
          </cell>
          <cell r="AD62">
            <v>8059</v>
          </cell>
          <cell r="AE62">
            <v>2686</v>
          </cell>
          <cell r="AF62">
            <v>3134</v>
          </cell>
          <cell r="AG62">
            <v>4253</v>
          </cell>
          <cell r="AH62">
            <v>3582</v>
          </cell>
          <cell r="AI62">
            <v>1343</v>
          </cell>
          <cell r="AJ62">
            <v>1567</v>
          </cell>
          <cell r="AK62">
            <v>2239</v>
          </cell>
          <cell r="AL62">
            <v>2686</v>
          </cell>
          <cell r="AM62">
            <v>672</v>
          </cell>
          <cell r="AN62">
            <v>672</v>
          </cell>
          <cell r="AO62">
            <v>2015</v>
          </cell>
          <cell r="AP62">
            <v>2686</v>
          </cell>
        </row>
        <row r="63">
          <cell r="C63" t="str">
            <v xml:space="preserve">Somaliland  </v>
          </cell>
          <cell r="D63" t="str">
            <v>Awdal</v>
          </cell>
          <cell r="E63" t="str">
            <v>Lughaye</v>
          </cell>
          <cell r="I63">
            <v>7537</v>
          </cell>
          <cell r="J63">
            <v>6977</v>
          </cell>
          <cell r="K63">
            <v>7350</v>
          </cell>
          <cell r="L63">
            <v>6641</v>
          </cell>
          <cell r="M63">
            <v>5895</v>
          </cell>
          <cell r="N63">
            <v>5597</v>
          </cell>
          <cell r="O63">
            <v>3955</v>
          </cell>
          <cell r="P63">
            <v>4067</v>
          </cell>
          <cell r="Q63">
            <v>2201</v>
          </cell>
          <cell r="R63">
            <v>2649</v>
          </cell>
          <cell r="S63">
            <v>1791</v>
          </cell>
          <cell r="T63">
            <v>2575</v>
          </cell>
          <cell r="U63">
            <v>1642</v>
          </cell>
          <cell r="V63">
            <v>1903</v>
          </cell>
          <cell r="W63">
            <v>1381</v>
          </cell>
          <cell r="X63">
            <v>1642</v>
          </cell>
          <cell r="Y63">
            <v>1269</v>
          </cell>
          <cell r="Z63">
            <v>933</v>
          </cell>
          <cell r="AA63">
            <v>709</v>
          </cell>
          <cell r="AB63">
            <v>560</v>
          </cell>
          <cell r="AC63">
            <v>970</v>
          </cell>
          <cell r="AD63">
            <v>1343</v>
          </cell>
          <cell r="AE63">
            <v>448</v>
          </cell>
          <cell r="AF63">
            <v>522</v>
          </cell>
          <cell r="AG63">
            <v>709</v>
          </cell>
          <cell r="AH63">
            <v>597</v>
          </cell>
          <cell r="AI63">
            <v>224</v>
          </cell>
          <cell r="AJ63">
            <v>261</v>
          </cell>
          <cell r="AK63">
            <v>373</v>
          </cell>
          <cell r="AL63">
            <v>448</v>
          </cell>
          <cell r="AM63">
            <v>112</v>
          </cell>
          <cell r="AN63">
            <v>112</v>
          </cell>
          <cell r="AO63">
            <v>336</v>
          </cell>
          <cell r="AP63">
            <v>448</v>
          </cell>
        </row>
        <row r="64">
          <cell r="C64" t="str">
            <v xml:space="preserve">Somaliland  </v>
          </cell>
          <cell r="D64" t="str">
            <v>Awdal</v>
          </cell>
          <cell r="E64" t="str">
            <v>Zeylac</v>
          </cell>
          <cell r="I64">
            <v>6963</v>
          </cell>
          <cell r="J64">
            <v>6446</v>
          </cell>
          <cell r="K64">
            <v>6791</v>
          </cell>
          <cell r="L64">
            <v>6136</v>
          </cell>
          <cell r="M64">
            <v>5446</v>
          </cell>
          <cell r="N64">
            <v>5171</v>
          </cell>
          <cell r="O64">
            <v>3654</v>
          </cell>
          <cell r="P64">
            <v>3757</v>
          </cell>
          <cell r="Q64">
            <v>2034</v>
          </cell>
          <cell r="R64">
            <v>2447</v>
          </cell>
          <cell r="S64">
            <v>1655</v>
          </cell>
          <cell r="T64">
            <v>2378</v>
          </cell>
          <cell r="U64">
            <v>1517</v>
          </cell>
          <cell r="V64">
            <v>1758</v>
          </cell>
          <cell r="W64">
            <v>1275</v>
          </cell>
          <cell r="X64">
            <v>1517</v>
          </cell>
          <cell r="Y64">
            <v>1172</v>
          </cell>
          <cell r="Z64">
            <v>862</v>
          </cell>
          <cell r="AA64">
            <v>655</v>
          </cell>
          <cell r="AB64">
            <v>517</v>
          </cell>
          <cell r="AC64">
            <v>896</v>
          </cell>
          <cell r="AD64">
            <v>1241</v>
          </cell>
          <cell r="AE64">
            <v>414</v>
          </cell>
          <cell r="AF64">
            <v>483</v>
          </cell>
          <cell r="AG64">
            <v>655</v>
          </cell>
          <cell r="AH64">
            <v>552</v>
          </cell>
          <cell r="AI64">
            <v>207</v>
          </cell>
          <cell r="AJ64">
            <v>241</v>
          </cell>
          <cell r="AK64">
            <v>345</v>
          </cell>
          <cell r="AL64">
            <v>414</v>
          </cell>
          <cell r="AM64">
            <v>103</v>
          </cell>
          <cell r="AN64">
            <v>103</v>
          </cell>
          <cell r="AO64">
            <v>310</v>
          </cell>
          <cell r="AP64">
            <v>414</v>
          </cell>
        </row>
        <row r="65">
          <cell r="C65" t="str">
            <v xml:space="preserve">Somaliland  </v>
          </cell>
          <cell r="D65" t="str">
            <v>Sanaag</v>
          </cell>
          <cell r="E65" t="str">
            <v>Ceel Afweyn</v>
          </cell>
          <cell r="I65">
            <v>9740</v>
          </cell>
          <cell r="J65">
            <v>9016</v>
          </cell>
          <cell r="K65">
            <v>9499</v>
          </cell>
          <cell r="L65">
            <v>8582</v>
          </cell>
          <cell r="M65">
            <v>7618</v>
          </cell>
          <cell r="N65">
            <v>7232</v>
          </cell>
          <cell r="O65">
            <v>5111</v>
          </cell>
          <cell r="P65">
            <v>5256</v>
          </cell>
          <cell r="Q65">
            <v>2845</v>
          </cell>
          <cell r="R65">
            <v>3423</v>
          </cell>
          <cell r="S65">
            <v>2314</v>
          </cell>
          <cell r="T65">
            <v>3327</v>
          </cell>
          <cell r="U65">
            <v>2121</v>
          </cell>
          <cell r="V65">
            <v>2459</v>
          </cell>
          <cell r="W65">
            <v>1784</v>
          </cell>
          <cell r="X65">
            <v>2121</v>
          </cell>
          <cell r="Y65">
            <v>1639</v>
          </cell>
          <cell r="Z65">
            <v>1205</v>
          </cell>
          <cell r="AA65">
            <v>916</v>
          </cell>
          <cell r="AB65">
            <v>723</v>
          </cell>
          <cell r="AC65">
            <v>1254</v>
          </cell>
          <cell r="AD65">
            <v>1736</v>
          </cell>
          <cell r="AE65">
            <v>579</v>
          </cell>
          <cell r="AF65">
            <v>675</v>
          </cell>
          <cell r="AG65">
            <v>916</v>
          </cell>
          <cell r="AH65">
            <v>771</v>
          </cell>
          <cell r="AI65">
            <v>289</v>
          </cell>
          <cell r="AJ65">
            <v>338</v>
          </cell>
          <cell r="AK65">
            <v>482</v>
          </cell>
          <cell r="AL65">
            <v>579</v>
          </cell>
          <cell r="AM65">
            <v>145</v>
          </cell>
          <cell r="AN65">
            <v>145</v>
          </cell>
          <cell r="AO65">
            <v>434</v>
          </cell>
          <cell r="AP65">
            <v>579</v>
          </cell>
        </row>
        <row r="66">
          <cell r="C66" t="str">
            <v xml:space="preserve">Somaliland  </v>
          </cell>
          <cell r="D66" t="str">
            <v>Sanaag</v>
          </cell>
          <cell r="E66" t="str">
            <v>Ceerigaabo</v>
          </cell>
          <cell r="I66">
            <v>18581</v>
          </cell>
          <cell r="J66">
            <v>17202</v>
          </cell>
          <cell r="K66">
            <v>18122</v>
          </cell>
          <cell r="L66">
            <v>16374</v>
          </cell>
          <cell r="M66">
            <v>14534</v>
          </cell>
          <cell r="N66">
            <v>13798</v>
          </cell>
          <cell r="O66">
            <v>9751</v>
          </cell>
          <cell r="P66">
            <v>10027</v>
          </cell>
          <cell r="Q66">
            <v>5427</v>
          </cell>
          <cell r="R66">
            <v>6531</v>
          </cell>
          <cell r="S66">
            <v>4415</v>
          </cell>
          <cell r="T66">
            <v>6347</v>
          </cell>
          <cell r="U66">
            <v>4047</v>
          </cell>
          <cell r="V66">
            <v>4691</v>
          </cell>
          <cell r="W66">
            <v>3404</v>
          </cell>
          <cell r="X66">
            <v>4047</v>
          </cell>
          <cell r="Y66">
            <v>3128</v>
          </cell>
          <cell r="Z66">
            <v>2300</v>
          </cell>
          <cell r="AA66">
            <v>1748</v>
          </cell>
          <cell r="AB66">
            <v>1380</v>
          </cell>
          <cell r="AC66">
            <v>2392</v>
          </cell>
          <cell r="AD66">
            <v>3312</v>
          </cell>
          <cell r="AE66">
            <v>1104</v>
          </cell>
          <cell r="AF66">
            <v>1288</v>
          </cell>
          <cell r="AG66">
            <v>1748</v>
          </cell>
          <cell r="AH66">
            <v>1472</v>
          </cell>
          <cell r="AI66">
            <v>552</v>
          </cell>
          <cell r="AJ66">
            <v>644</v>
          </cell>
          <cell r="AK66">
            <v>920</v>
          </cell>
          <cell r="AL66">
            <v>1104</v>
          </cell>
          <cell r="AM66">
            <v>276</v>
          </cell>
          <cell r="AN66">
            <v>276</v>
          </cell>
          <cell r="AO66">
            <v>828</v>
          </cell>
          <cell r="AP66">
            <v>1104</v>
          </cell>
        </row>
        <row r="67">
          <cell r="C67" t="str">
            <v xml:space="preserve">Somaliland  </v>
          </cell>
          <cell r="D67" t="str">
            <v>Sanaag</v>
          </cell>
          <cell r="E67" t="str">
            <v>Laasqoray</v>
          </cell>
          <cell r="I67">
            <v>16594</v>
          </cell>
          <cell r="J67">
            <v>15362</v>
          </cell>
          <cell r="K67">
            <v>16183</v>
          </cell>
          <cell r="L67">
            <v>14622</v>
          </cell>
          <cell r="M67">
            <v>12979</v>
          </cell>
          <cell r="N67">
            <v>12322</v>
          </cell>
          <cell r="O67">
            <v>8708</v>
          </cell>
          <cell r="P67">
            <v>8954</v>
          </cell>
          <cell r="Q67">
            <v>4847</v>
          </cell>
          <cell r="R67">
            <v>5832</v>
          </cell>
          <cell r="S67">
            <v>3943</v>
          </cell>
          <cell r="T67">
            <v>5668</v>
          </cell>
          <cell r="U67">
            <v>3614</v>
          </cell>
          <cell r="V67">
            <v>4190</v>
          </cell>
          <cell r="W67">
            <v>3039</v>
          </cell>
          <cell r="X67">
            <v>3614</v>
          </cell>
          <cell r="Y67">
            <v>2793</v>
          </cell>
          <cell r="Z67">
            <v>2054</v>
          </cell>
          <cell r="AA67">
            <v>1561</v>
          </cell>
          <cell r="AB67">
            <v>1232</v>
          </cell>
          <cell r="AC67">
            <v>2136</v>
          </cell>
          <cell r="AD67">
            <v>2957</v>
          </cell>
          <cell r="AE67">
            <v>986</v>
          </cell>
          <cell r="AF67">
            <v>1150</v>
          </cell>
          <cell r="AG67">
            <v>1561</v>
          </cell>
          <cell r="AH67">
            <v>1314</v>
          </cell>
          <cell r="AI67">
            <v>493</v>
          </cell>
          <cell r="AJ67">
            <v>575</v>
          </cell>
          <cell r="AK67">
            <v>821</v>
          </cell>
          <cell r="AL67">
            <v>986</v>
          </cell>
          <cell r="AM67">
            <v>246</v>
          </cell>
          <cell r="AN67">
            <v>246</v>
          </cell>
          <cell r="AO67">
            <v>739</v>
          </cell>
          <cell r="AP67">
            <v>986</v>
          </cell>
        </row>
        <row r="68">
          <cell r="C68" t="str">
            <v xml:space="preserve">Somaliland  </v>
          </cell>
          <cell r="D68" t="str">
            <v>Sool</v>
          </cell>
          <cell r="E68" t="str">
            <v>Caynabo</v>
          </cell>
          <cell r="I68">
            <v>10077</v>
          </cell>
          <cell r="J68">
            <v>9329</v>
          </cell>
          <cell r="K68">
            <v>9828</v>
          </cell>
          <cell r="L68">
            <v>8880</v>
          </cell>
          <cell r="M68">
            <v>7882</v>
          </cell>
          <cell r="N68">
            <v>7483</v>
          </cell>
          <cell r="O68">
            <v>5288</v>
          </cell>
          <cell r="P68">
            <v>5438</v>
          </cell>
          <cell r="Q68">
            <v>2943</v>
          </cell>
          <cell r="R68">
            <v>3542</v>
          </cell>
          <cell r="S68">
            <v>2395</v>
          </cell>
          <cell r="T68">
            <v>3442</v>
          </cell>
          <cell r="U68">
            <v>2195</v>
          </cell>
          <cell r="V68">
            <v>2544</v>
          </cell>
          <cell r="W68">
            <v>1846</v>
          </cell>
          <cell r="X68">
            <v>2195</v>
          </cell>
          <cell r="Y68">
            <v>1696</v>
          </cell>
          <cell r="Z68">
            <v>1247</v>
          </cell>
          <cell r="AA68">
            <v>948</v>
          </cell>
          <cell r="AB68">
            <v>748</v>
          </cell>
          <cell r="AC68">
            <v>1297</v>
          </cell>
          <cell r="AD68">
            <v>1796</v>
          </cell>
          <cell r="AE68">
            <v>599</v>
          </cell>
          <cell r="AF68">
            <v>698</v>
          </cell>
          <cell r="AG68">
            <v>948</v>
          </cell>
          <cell r="AH68">
            <v>798</v>
          </cell>
          <cell r="AI68">
            <v>299</v>
          </cell>
          <cell r="AJ68">
            <v>349</v>
          </cell>
          <cell r="AK68">
            <v>499</v>
          </cell>
          <cell r="AL68">
            <v>599</v>
          </cell>
          <cell r="AM68">
            <v>150</v>
          </cell>
          <cell r="AN68">
            <v>150</v>
          </cell>
          <cell r="AO68">
            <v>449</v>
          </cell>
          <cell r="AP68">
            <v>599</v>
          </cell>
        </row>
        <row r="69">
          <cell r="C69" t="str">
            <v xml:space="preserve">Somaliland  </v>
          </cell>
          <cell r="D69" t="str">
            <v>Sool</v>
          </cell>
          <cell r="E69" t="str">
            <v>Laas Caanood</v>
          </cell>
          <cell r="I69">
            <v>27672</v>
          </cell>
          <cell r="J69">
            <v>25617</v>
          </cell>
          <cell r="K69">
            <v>26987</v>
          </cell>
          <cell r="L69">
            <v>24384</v>
          </cell>
          <cell r="M69">
            <v>21644</v>
          </cell>
          <cell r="N69">
            <v>20548</v>
          </cell>
          <cell r="O69">
            <v>14521</v>
          </cell>
          <cell r="P69">
            <v>14932</v>
          </cell>
          <cell r="Q69">
            <v>8082</v>
          </cell>
          <cell r="R69">
            <v>9726</v>
          </cell>
          <cell r="S69">
            <v>6576</v>
          </cell>
          <cell r="T69">
            <v>9452</v>
          </cell>
          <cell r="U69">
            <v>6028</v>
          </cell>
          <cell r="V69">
            <v>6986</v>
          </cell>
          <cell r="W69">
            <v>5069</v>
          </cell>
          <cell r="X69">
            <v>6028</v>
          </cell>
          <cell r="Y69">
            <v>4658</v>
          </cell>
          <cell r="Z69">
            <v>3425</v>
          </cell>
          <cell r="AA69">
            <v>2603</v>
          </cell>
          <cell r="AB69">
            <v>2055</v>
          </cell>
          <cell r="AC69">
            <v>3562</v>
          </cell>
          <cell r="AD69">
            <v>4932</v>
          </cell>
          <cell r="AE69">
            <v>1644</v>
          </cell>
          <cell r="AF69">
            <v>1918</v>
          </cell>
          <cell r="AG69">
            <v>2603</v>
          </cell>
          <cell r="AH69">
            <v>2192</v>
          </cell>
          <cell r="AI69">
            <v>822</v>
          </cell>
          <cell r="AJ69">
            <v>959</v>
          </cell>
          <cell r="AK69">
            <v>1370</v>
          </cell>
          <cell r="AL69">
            <v>1644</v>
          </cell>
          <cell r="AM69">
            <v>411</v>
          </cell>
          <cell r="AN69">
            <v>411</v>
          </cell>
          <cell r="AO69">
            <v>1233</v>
          </cell>
          <cell r="AP69">
            <v>1644</v>
          </cell>
        </row>
        <row r="70">
          <cell r="C70" t="str">
            <v xml:space="preserve">Somaliland  </v>
          </cell>
          <cell r="D70" t="str">
            <v>Sool</v>
          </cell>
          <cell r="E70" t="str">
            <v>Taleex</v>
          </cell>
          <cell r="I70">
            <v>9725</v>
          </cell>
          <cell r="J70">
            <v>9003</v>
          </cell>
          <cell r="K70">
            <v>9484</v>
          </cell>
          <cell r="L70">
            <v>8570</v>
          </cell>
          <cell r="M70">
            <v>7607</v>
          </cell>
          <cell r="N70">
            <v>7222</v>
          </cell>
          <cell r="O70">
            <v>5103</v>
          </cell>
          <cell r="P70">
            <v>5248</v>
          </cell>
          <cell r="Q70">
            <v>2840</v>
          </cell>
          <cell r="R70">
            <v>3418</v>
          </cell>
          <cell r="S70">
            <v>2311</v>
          </cell>
          <cell r="T70">
            <v>3322</v>
          </cell>
          <cell r="U70">
            <v>2118</v>
          </cell>
          <cell r="V70">
            <v>2455</v>
          </cell>
          <cell r="W70">
            <v>1781</v>
          </cell>
          <cell r="X70">
            <v>2118</v>
          </cell>
          <cell r="Y70">
            <v>1637</v>
          </cell>
          <cell r="Z70">
            <v>1204</v>
          </cell>
          <cell r="AA70">
            <v>915</v>
          </cell>
          <cell r="AB70">
            <v>722</v>
          </cell>
          <cell r="AC70">
            <v>1252</v>
          </cell>
          <cell r="AD70">
            <v>1733</v>
          </cell>
          <cell r="AE70">
            <v>578</v>
          </cell>
          <cell r="AF70">
            <v>674</v>
          </cell>
          <cell r="AG70">
            <v>915</v>
          </cell>
          <cell r="AH70">
            <v>770</v>
          </cell>
          <cell r="AI70">
            <v>289</v>
          </cell>
          <cell r="AJ70">
            <v>337</v>
          </cell>
          <cell r="AK70">
            <v>481</v>
          </cell>
          <cell r="AL70">
            <v>578</v>
          </cell>
          <cell r="AM70">
            <v>144</v>
          </cell>
          <cell r="AN70">
            <v>144</v>
          </cell>
          <cell r="AO70">
            <v>433</v>
          </cell>
          <cell r="AP70">
            <v>578</v>
          </cell>
        </row>
        <row r="71">
          <cell r="C71" t="str">
            <v xml:space="preserve">Somaliland  </v>
          </cell>
          <cell r="D71" t="str">
            <v>Sool</v>
          </cell>
          <cell r="E71" t="str">
            <v>Xudun</v>
          </cell>
          <cell r="I71">
            <v>10042</v>
          </cell>
          <cell r="J71">
            <v>9296</v>
          </cell>
          <cell r="K71">
            <v>9793</v>
          </cell>
          <cell r="L71">
            <v>8849</v>
          </cell>
          <cell r="M71">
            <v>7855</v>
          </cell>
          <cell r="N71">
            <v>7457</v>
          </cell>
          <cell r="O71">
            <v>5270</v>
          </cell>
          <cell r="P71">
            <v>5419</v>
          </cell>
          <cell r="Q71">
            <v>2933</v>
          </cell>
          <cell r="R71">
            <v>3530</v>
          </cell>
          <cell r="S71">
            <v>2386</v>
          </cell>
          <cell r="T71">
            <v>3430</v>
          </cell>
          <cell r="U71">
            <v>2187</v>
          </cell>
          <cell r="V71">
            <v>2535</v>
          </cell>
          <cell r="W71">
            <v>1839</v>
          </cell>
          <cell r="X71">
            <v>2187</v>
          </cell>
          <cell r="Y71">
            <v>1690</v>
          </cell>
          <cell r="Z71">
            <v>1243</v>
          </cell>
          <cell r="AA71">
            <v>945</v>
          </cell>
          <cell r="AB71">
            <v>746</v>
          </cell>
          <cell r="AC71">
            <v>1293</v>
          </cell>
          <cell r="AD71">
            <v>1790</v>
          </cell>
          <cell r="AE71">
            <v>597</v>
          </cell>
          <cell r="AF71">
            <v>696</v>
          </cell>
          <cell r="AG71">
            <v>945</v>
          </cell>
          <cell r="AH71">
            <v>795</v>
          </cell>
          <cell r="AI71">
            <v>298</v>
          </cell>
          <cell r="AJ71">
            <v>348</v>
          </cell>
          <cell r="AK71">
            <v>497</v>
          </cell>
          <cell r="AL71">
            <v>597</v>
          </cell>
          <cell r="AM71">
            <v>149</v>
          </cell>
          <cell r="AN71">
            <v>149</v>
          </cell>
          <cell r="AO71">
            <v>447</v>
          </cell>
          <cell r="AP71">
            <v>597</v>
          </cell>
        </row>
        <row r="72">
          <cell r="C72" t="str">
            <v xml:space="preserve">Somaliland  </v>
          </cell>
          <cell r="D72" t="str">
            <v>Togdheer</v>
          </cell>
          <cell r="E72" t="str">
            <v>Burco</v>
          </cell>
          <cell r="I72">
            <v>54523</v>
          </cell>
          <cell r="J72">
            <v>50475</v>
          </cell>
          <cell r="K72">
            <v>53174</v>
          </cell>
          <cell r="L72">
            <v>48045</v>
          </cell>
          <cell r="M72">
            <v>42647</v>
          </cell>
          <cell r="N72">
            <v>40488</v>
          </cell>
          <cell r="O72">
            <v>28611</v>
          </cell>
          <cell r="P72">
            <v>29421</v>
          </cell>
          <cell r="Q72">
            <v>15925</v>
          </cell>
          <cell r="R72">
            <v>19164</v>
          </cell>
          <cell r="S72">
            <v>12956</v>
          </cell>
          <cell r="T72">
            <v>18624</v>
          </cell>
          <cell r="U72">
            <v>11876</v>
          </cell>
          <cell r="V72">
            <v>13766</v>
          </cell>
          <cell r="W72">
            <v>9987</v>
          </cell>
          <cell r="X72">
            <v>11876</v>
          </cell>
          <cell r="Y72">
            <v>9177</v>
          </cell>
          <cell r="Z72">
            <v>6748</v>
          </cell>
          <cell r="AA72">
            <v>5128</v>
          </cell>
          <cell r="AB72">
            <v>4049</v>
          </cell>
          <cell r="AC72">
            <v>7018</v>
          </cell>
          <cell r="AD72">
            <v>9717</v>
          </cell>
          <cell r="AE72">
            <v>3239</v>
          </cell>
          <cell r="AF72">
            <v>3779</v>
          </cell>
          <cell r="AG72">
            <v>5128</v>
          </cell>
          <cell r="AH72">
            <v>4319</v>
          </cell>
          <cell r="AI72">
            <v>1620</v>
          </cell>
          <cell r="AJ72">
            <v>1889</v>
          </cell>
          <cell r="AK72">
            <v>2699</v>
          </cell>
          <cell r="AL72">
            <v>3239</v>
          </cell>
          <cell r="AM72">
            <v>810</v>
          </cell>
          <cell r="AN72">
            <v>810</v>
          </cell>
          <cell r="AO72">
            <v>2429</v>
          </cell>
          <cell r="AP72">
            <v>3239</v>
          </cell>
        </row>
        <row r="73">
          <cell r="C73" t="str">
            <v xml:space="preserve">Somaliland  </v>
          </cell>
          <cell r="D73" t="str">
            <v>Togdheer</v>
          </cell>
          <cell r="E73" t="str">
            <v>Buuhoodle</v>
          </cell>
          <cell r="I73">
            <v>10203</v>
          </cell>
          <cell r="J73">
            <v>9446</v>
          </cell>
          <cell r="K73">
            <v>9951</v>
          </cell>
          <cell r="L73">
            <v>8991</v>
          </cell>
          <cell r="M73">
            <v>7981</v>
          </cell>
          <cell r="N73">
            <v>7577</v>
          </cell>
          <cell r="O73">
            <v>5354</v>
          </cell>
          <cell r="P73">
            <v>5506</v>
          </cell>
          <cell r="Q73">
            <v>2980</v>
          </cell>
          <cell r="R73">
            <v>3586</v>
          </cell>
          <cell r="S73">
            <v>2425</v>
          </cell>
          <cell r="T73">
            <v>3485</v>
          </cell>
          <cell r="U73">
            <v>2223</v>
          </cell>
          <cell r="V73">
            <v>2576</v>
          </cell>
          <cell r="W73">
            <v>1869</v>
          </cell>
          <cell r="X73">
            <v>2223</v>
          </cell>
          <cell r="Y73">
            <v>1717</v>
          </cell>
          <cell r="Z73">
            <v>1263</v>
          </cell>
          <cell r="AA73">
            <v>960</v>
          </cell>
          <cell r="AB73">
            <v>758</v>
          </cell>
          <cell r="AC73">
            <v>1313</v>
          </cell>
          <cell r="AD73">
            <v>1818</v>
          </cell>
          <cell r="AE73">
            <v>606</v>
          </cell>
          <cell r="AF73">
            <v>707</v>
          </cell>
          <cell r="AG73">
            <v>960</v>
          </cell>
          <cell r="AH73">
            <v>808</v>
          </cell>
          <cell r="AI73">
            <v>303</v>
          </cell>
          <cell r="AJ73">
            <v>354</v>
          </cell>
          <cell r="AK73">
            <v>505</v>
          </cell>
          <cell r="AL73">
            <v>606</v>
          </cell>
          <cell r="AM73">
            <v>152</v>
          </cell>
          <cell r="AN73">
            <v>152</v>
          </cell>
          <cell r="AO73">
            <v>455</v>
          </cell>
          <cell r="AP73">
            <v>606</v>
          </cell>
        </row>
        <row r="74">
          <cell r="C74" t="str">
            <v xml:space="preserve">Somaliland  </v>
          </cell>
          <cell r="D74" t="str">
            <v>Togdheer</v>
          </cell>
          <cell r="E74" t="str">
            <v>Owdweyne</v>
          </cell>
          <cell r="I74">
            <v>10264</v>
          </cell>
          <cell r="J74">
            <v>9502</v>
          </cell>
          <cell r="K74">
            <v>10010</v>
          </cell>
          <cell r="L74">
            <v>9044</v>
          </cell>
          <cell r="M74">
            <v>8028</v>
          </cell>
          <cell r="N74">
            <v>7622</v>
          </cell>
          <cell r="O74">
            <v>5386</v>
          </cell>
          <cell r="P74">
            <v>5538</v>
          </cell>
          <cell r="Q74">
            <v>2998</v>
          </cell>
          <cell r="R74">
            <v>3608</v>
          </cell>
          <cell r="S74">
            <v>2439</v>
          </cell>
          <cell r="T74">
            <v>3506</v>
          </cell>
          <cell r="U74">
            <v>2236</v>
          </cell>
          <cell r="V74">
            <v>2591</v>
          </cell>
          <cell r="W74">
            <v>1880</v>
          </cell>
          <cell r="X74">
            <v>2236</v>
          </cell>
          <cell r="Y74">
            <v>1728</v>
          </cell>
          <cell r="Z74">
            <v>1270</v>
          </cell>
          <cell r="AA74">
            <v>965</v>
          </cell>
          <cell r="AB74">
            <v>762</v>
          </cell>
          <cell r="AC74">
            <v>1321</v>
          </cell>
          <cell r="AD74">
            <v>1829</v>
          </cell>
          <cell r="AE74">
            <v>610</v>
          </cell>
          <cell r="AF74">
            <v>711</v>
          </cell>
          <cell r="AG74">
            <v>965</v>
          </cell>
          <cell r="AH74">
            <v>813</v>
          </cell>
          <cell r="AI74">
            <v>305</v>
          </cell>
          <cell r="AJ74">
            <v>356</v>
          </cell>
          <cell r="AK74">
            <v>508</v>
          </cell>
          <cell r="AL74">
            <v>610</v>
          </cell>
          <cell r="AM74">
            <v>152</v>
          </cell>
          <cell r="AN74">
            <v>152</v>
          </cell>
          <cell r="AO74">
            <v>457</v>
          </cell>
          <cell r="AP74">
            <v>610</v>
          </cell>
        </row>
        <row r="75">
          <cell r="C75" t="str">
            <v xml:space="preserve">Somaliland  </v>
          </cell>
          <cell r="D75" t="str">
            <v>Togdheer</v>
          </cell>
          <cell r="E75" t="str">
            <v>Sheikh</v>
          </cell>
          <cell r="I75">
            <v>15183</v>
          </cell>
          <cell r="J75">
            <v>14056</v>
          </cell>
          <cell r="K75">
            <v>14807</v>
          </cell>
          <cell r="L75">
            <v>13379</v>
          </cell>
          <cell r="M75">
            <v>11876</v>
          </cell>
          <cell r="N75">
            <v>11275</v>
          </cell>
          <cell r="O75">
            <v>7967</v>
          </cell>
          <cell r="P75">
            <v>8193</v>
          </cell>
          <cell r="Q75">
            <v>4435</v>
          </cell>
          <cell r="R75">
            <v>5337</v>
          </cell>
          <cell r="S75">
            <v>3608</v>
          </cell>
          <cell r="T75">
            <v>5186</v>
          </cell>
          <cell r="U75">
            <v>3307</v>
          </cell>
          <cell r="V75">
            <v>3833</v>
          </cell>
          <cell r="W75">
            <v>2781</v>
          </cell>
          <cell r="X75">
            <v>3307</v>
          </cell>
          <cell r="Y75">
            <v>2556</v>
          </cell>
          <cell r="Z75">
            <v>1879</v>
          </cell>
          <cell r="AA75">
            <v>1428</v>
          </cell>
          <cell r="AB75">
            <v>1127</v>
          </cell>
          <cell r="AC75">
            <v>1954</v>
          </cell>
          <cell r="AD75">
            <v>2706</v>
          </cell>
          <cell r="AE75">
            <v>902</v>
          </cell>
          <cell r="AF75">
            <v>1052</v>
          </cell>
          <cell r="AG75">
            <v>1428</v>
          </cell>
          <cell r="AH75">
            <v>1203</v>
          </cell>
          <cell r="AI75">
            <v>451</v>
          </cell>
          <cell r="AJ75">
            <v>526</v>
          </cell>
          <cell r="AK75">
            <v>752</v>
          </cell>
          <cell r="AL75">
            <v>902</v>
          </cell>
          <cell r="AM75">
            <v>225</v>
          </cell>
          <cell r="AN75">
            <v>225</v>
          </cell>
          <cell r="AO75">
            <v>676</v>
          </cell>
          <cell r="AP75">
            <v>902</v>
          </cell>
        </row>
        <row r="76">
          <cell r="C76" t="str">
            <v xml:space="preserve">Somaliland  </v>
          </cell>
          <cell r="D76" t="str">
            <v>Woqooyi Galbeed</v>
          </cell>
          <cell r="E76" t="str">
            <v>Berbera</v>
          </cell>
          <cell r="I76">
            <v>19900</v>
          </cell>
          <cell r="J76">
            <v>18422</v>
          </cell>
          <cell r="K76">
            <v>19408</v>
          </cell>
          <cell r="L76">
            <v>17536</v>
          </cell>
          <cell r="M76">
            <v>15565</v>
          </cell>
          <cell r="N76">
            <v>14777</v>
          </cell>
          <cell r="O76">
            <v>10443</v>
          </cell>
          <cell r="P76">
            <v>10738</v>
          </cell>
          <cell r="Q76">
            <v>5812</v>
          </cell>
          <cell r="R76">
            <v>6995</v>
          </cell>
          <cell r="S76">
            <v>4729</v>
          </cell>
          <cell r="T76">
            <v>6798</v>
          </cell>
          <cell r="U76">
            <v>4335</v>
          </cell>
          <cell r="V76">
            <v>5024</v>
          </cell>
          <cell r="W76">
            <v>3645</v>
          </cell>
          <cell r="X76">
            <v>4335</v>
          </cell>
          <cell r="Y76">
            <v>3350</v>
          </cell>
          <cell r="Z76">
            <v>2463</v>
          </cell>
          <cell r="AA76">
            <v>1872</v>
          </cell>
          <cell r="AB76">
            <v>1478</v>
          </cell>
          <cell r="AC76">
            <v>2561</v>
          </cell>
          <cell r="AD76">
            <v>3547</v>
          </cell>
          <cell r="AE76">
            <v>1182</v>
          </cell>
          <cell r="AF76">
            <v>1379</v>
          </cell>
          <cell r="AG76">
            <v>1872</v>
          </cell>
          <cell r="AH76">
            <v>1576</v>
          </cell>
          <cell r="AI76">
            <v>591</v>
          </cell>
          <cell r="AJ76">
            <v>690</v>
          </cell>
          <cell r="AK76">
            <v>985</v>
          </cell>
          <cell r="AL76">
            <v>1182</v>
          </cell>
          <cell r="AM76">
            <v>296</v>
          </cell>
          <cell r="AN76">
            <v>296</v>
          </cell>
          <cell r="AO76">
            <v>887</v>
          </cell>
          <cell r="AP76">
            <v>1182</v>
          </cell>
        </row>
        <row r="77">
          <cell r="C77" t="str">
            <v xml:space="preserve">Somaliland  </v>
          </cell>
          <cell r="D77" t="str">
            <v>Woqooyi Galbeed</v>
          </cell>
          <cell r="E77" t="str">
            <v>Gebiley</v>
          </cell>
          <cell r="I77">
            <v>22215</v>
          </cell>
          <cell r="J77">
            <v>20565</v>
          </cell>
          <cell r="K77">
            <v>21665</v>
          </cell>
          <cell r="L77">
            <v>19576</v>
          </cell>
          <cell r="M77">
            <v>17376</v>
          </cell>
          <cell r="N77">
            <v>16496</v>
          </cell>
          <cell r="O77">
            <v>11657</v>
          </cell>
          <cell r="P77">
            <v>11987</v>
          </cell>
          <cell r="Q77">
            <v>6489</v>
          </cell>
          <cell r="R77">
            <v>7808</v>
          </cell>
          <cell r="S77">
            <v>5279</v>
          </cell>
          <cell r="T77">
            <v>7588</v>
          </cell>
          <cell r="U77">
            <v>4839</v>
          </cell>
          <cell r="V77">
            <v>5609</v>
          </cell>
          <cell r="W77">
            <v>4069</v>
          </cell>
          <cell r="X77">
            <v>4839</v>
          </cell>
          <cell r="Y77">
            <v>3739</v>
          </cell>
          <cell r="Z77">
            <v>2749</v>
          </cell>
          <cell r="AA77">
            <v>2090</v>
          </cell>
          <cell r="AB77">
            <v>1650</v>
          </cell>
          <cell r="AC77">
            <v>2859</v>
          </cell>
          <cell r="AD77">
            <v>3959</v>
          </cell>
          <cell r="AE77">
            <v>1320</v>
          </cell>
          <cell r="AF77">
            <v>1540</v>
          </cell>
          <cell r="AG77">
            <v>2090</v>
          </cell>
          <cell r="AH77">
            <v>1760</v>
          </cell>
          <cell r="AI77">
            <v>660</v>
          </cell>
          <cell r="AJ77">
            <v>770</v>
          </cell>
          <cell r="AK77">
            <v>1100</v>
          </cell>
          <cell r="AL77">
            <v>1320</v>
          </cell>
          <cell r="AM77">
            <v>330</v>
          </cell>
          <cell r="AN77">
            <v>330</v>
          </cell>
          <cell r="AO77">
            <v>990</v>
          </cell>
          <cell r="AP77">
            <v>1320</v>
          </cell>
        </row>
        <row r="78">
          <cell r="C78" t="str">
            <v xml:space="preserve">Somaliland  </v>
          </cell>
          <cell r="D78" t="str">
            <v>Woqooyi Galbeed</v>
          </cell>
          <cell r="E78" t="str">
            <v>Hargeysa</v>
          </cell>
          <cell r="I78">
            <v>109537</v>
          </cell>
          <cell r="J78">
            <v>101403</v>
          </cell>
          <cell r="K78">
            <v>106826</v>
          </cell>
          <cell r="L78">
            <v>96523</v>
          </cell>
          <cell r="M78">
            <v>85678</v>
          </cell>
          <cell r="N78">
            <v>81339</v>
          </cell>
          <cell r="O78">
            <v>57480</v>
          </cell>
          <cell r="P78">
            <v>59107</v>
          </cell>
          <cell r="Q78">
            <v>31994</v>
          </cell>
          <cell r="R78">
            <v>38501</v>
          </cell>
          <cell r="S78">
            <v>26029</v>
          </cell>
          <cell r="T78">
            <v>37416</v>
          </cell>
          <cell r="U78">
            <v>23860</v>
          </cell>
          <cell r="V78">
            <v>27655</v>
          </cell>
          <cell r="W78">
            <v>20064</v>
          </cell>
          <cell r="X78">
            <v>23860</v>
          </cell>
          <cell r="Y78">
            <v>18437</v>
          </cell>
          <cell r="Z78">
            <v>13557</v>
          </cell>
          <cell r="AA78">
            <v>10303</v>
          </cell>
          <cell r="AB78">
            <v>8134</v>
          </cell>
          <cell r="AC78">
            <v>14099</v>
          </cell>
          <cell r="AD78">
            <v>19521</v>
          </cell>
          <cell r="AE78">
            <v>6507</v>
          </cell>
          <cell r="AF78">
            <v>7592</v>
          </cell>
          <cell r="AG78">
            <v>10303</v>
          </cell>
          <cell r="AH78">
            <v>8676</v>
          </cell>
          <cell r="AI78">
            <v>3254</v>
          </cell>
          <cell r="AJ78">
            <v>3796</v>
          </cell>
          <cell r="AK78">
            <v>5423</v>
          </cell>
          <cell r="AL78">
            <v>6507</v>
          </cell>
          <cell r="AM78">
            <v>1627</v>
          </cell>
          <cell r="AN78">
            <v>1627</v>
          </cell>
          <cell r="AO78">
            <v>4880</v>
          </cell>
          <cell r="AP78">
            <v>6507</v>
          </cell>
        </row>
        <row r="79">
          <cell r="C79" t="str">
            <v xml:space="preserve">Southwest  </v>
          </cell>
          <cell r="D79" t="str">
            <v>Bakool</v>
          </cell>
          <cell r="E79" t="str">
            <v>Ceel Barde</v>
          </cell>
          <cell r="I79">
            <v>8834</v>
          </cell>
          <cell r="J79">
            <v>8178</v>
          </cell>
          <cell r="K79">
            <v>8615</v>
          </cell>
          <cell r="L79">
            <v>7784</v>
          </cell>
          <cell r="M79">
            <v>6910</v>
          </cell>
          <cell r="N79">
            <v>6560</v>
          </cell>
          <cell r="O79">
            <v>4636</v>
          </cell>
          <cell r="P79">
            <v>4767</v>
          </cell>
          <cell r="Q79">
            <v>2580</v>
          </cell>
          <cell r="R79">
            <v>3105</v>
          </cell>
          <cell r="S79">
            <v>2099</v>
          </cell>
          <cell r="T79">
            <v>3018</v>
          </cell>
          <cell r="U79">
            <v>1924</v>
          </cell>
          <cell r="V79">
            <v>2230</v>
          </cell>
          <cell r="W79">
            <v>1618</v>
          </cell>
          <cell r="X79">
            <v>1924</v>
          </cell>
          <cell r="Y79">
            <v>1487</v>
          </cell>
          <cell r="Z79">
            <v>1093</v>
          </cell>
          <cell r="AA79">
            <v>831</v>
          </cell>
          <cell r="AB79">
            <v>656</v>
          </cell>
          <cell r="AC79">
            <v>1137</v>
          </cell>
          <cell r="AD79">
            <v>1574</v>
          </cell>
          <cell r="AE79">
            <v>525</v>
          </cell>
          <cell r="AF79">
            <v>612</v>
          </cell>
          <cell r="AG79">
            <v>831</v>
          </cell>
          <cell r="AH79">
            <v>700</v>
          </cell>
          <cell r="AI79">
            <v>262</v>
          </cell>
          <cell r="AJ79">
            <v>306</v>
          </cell>
          <cell r="AK79">
            <v>437</v>
          </cell>
          <cell r="AL79">
            <v>525</v>
          </cell>
          <cell r="AM79">
            <v>131</v>
          </cell>
          <cell r="AN79">
            <v>131</v>
          </cell>
          <cell r="AO79">
            <v>394</v>
          </cell>
          <cell r="AP79">
            <v>525</v>
          </cell>
        </row>
        <row r="80">
          <cell r="C80" t="str">
            <v xml:space="preserve">Southwest  </v>
          </cell>
          <cell r="D80" t="str">
            <v>Bakool</v>
          </cell>
          <cell r="E80" t="str">
            <v>Rab Dhuure</v>
          </cell>
          <cell r="I80">
            <v>9366</v>
          </cell>
          <cell r="J80">
            <v>8671</v>
          </cell>
          <cell r="K80">
            <v>9134</v>
          </cell>
          <cell r="L80">
            <v>8253</v>
          </cell>
          <cell r="M80">
            <v>7326</v>
          </cell>
          <cell r="N80">
            <v>6955</v>
          </cell>
          <cell r="O80">
            <v>4915</v>
          </cell>
          <cell r="P80">
            <v>5054</v>
          </cell>
          <cell r="Q80">
            <v>2736</v>
          </cell>
          <cell r="R80">
            <v>3292</v>
          </cell>
          <cell r="S80">
            <v>2226</v>
          </cell>
          <cell r="T80">
            <v>3199</v>
          </cell>
          <cell r="U80">
            <v>2040</v>
          </cell>
          <cell r="V80">
            <v>2365</v>
          </cell>
          <cell r="W80">
            <v>1716</v>
          </cell>
          <cell r="X80">
            <v>2040</v>
          </cell>
          <cell r="Y80">
            <v>1576</v>
          </cell>
          <cell r="Z80">
            <v>1159</v>
          </cell>
          <cell r="AA80">
            <v>881</v>
          </cell>
          <cell r="AB80">
            <v>695</v>
          </cell>
          <cell r="AC80">
            <v>1206</v>
          </cell>
          <cell r="AD80">
            <v>1669</v>
          </cell>
          <cell r="AE80">
            <v>556</v>
          </cell>
          <cell r="AF80">
            <v>649</v>
          </cell>
          <cell r="AG80">
            <v>881</v>
          </cell>
          <cell r="AH80">
            <v>742</v>
          </cell>
          <cell r="AI80">
            <v>278</v>
          </cell>
          <cell r="AJ80">
            <v>325</v>
          </cell>
          <cell r="AK80">
            <v>464</v>
          </cell>
          <cell r="AL80">
            <v>556</v>
          </cell>
          <cell r="AM80">
            <v>139</v>
          </cell>
          <cell r="AN80">
            <v>139</v>
          </cell>
          <cell r="AO80">
            <v>417</v>
          </cell>
          <cell r="AP80">
            <v>556</v>
          </cell>
        </row>
        <row r="81">
          <cell r="C81" t="str">
            <v xml:space="preserve">Southwest  </v>
          </cell>
          <cell r="D81" t="str">
            <v>Bakool</v>
          </cell>
          <cell r="E81" t="str">
            <v>Tayeeglow</v>
          </cell>
          <cell r="I81">
            <v>17301</v>
          </cell>
          <cell r="J81">
            <v>16016</v>
          </cell>
          <cell r="K81">
            <v>16873</v>
          </cell>
          <cell r="L81">
            <v>15245</v>
          </cell>
          <cell r="M81">
            <v>13532</v>
          </cell>
          <cell r="N81">
            <v>12847</v>
          </cell>
          <cell r="O81">
            <v>9079</v>
          </cell>
          <cell r="P81">
            <v>9336</v>
          </cell>
          <cell r="Q81">
            <v>5053</v>
          </cell>
          <cell r="R81">
            <v>6081</v>
          </cell>
          <cell r="S81">
            <v>4111</v>
          </cell>
          <cell r="T81">
            <v>5910</v>
          </cell>
          <cell r="U81">
            <v>3768</v>
          </cell>
          <cell r="V81">
            <v>4368</v>
          </cell>
          <cell r="W81">
            <v>3169</v>
          </cell>
          <cell r="X81">
            <v>3768</v>
          </cell>
          <cell r="Y81">
            <v>2912</v>
          </cell>
          <cell r="Z81">
            <v>2141</v>
          </cell>
          <cell r="AA81">
            <v>1627</v>
          </cell>
          <cell r="AB81">
            <v>1285</v>
          </cell>
          <cell r="AC81">
            <v>2227</v>
          </cell>
          <cell r="AD81">
            <v>3083</v>
          </cell>
          <cell r="AE81">
            <v>1028</v>
          </cell>
          <cell r="AF81">
            <v>1199</v>
          </cell>
          <cell r="AG81">
            <v>1627</v>
          </cell>
          <cell r="AH81">
            <v>1370</v>
          </cell>
          <cell r="AI81">
            <v>514</v>
          </cell>
          <cell r="AJ81">
            <v>600</v>
          </cell>
          <cell r="AK81">
            <v>856</v>
          </cell>
          <cell r="AL81">
            <v>1028</v>
          </cell>
          <cell r="AM81">
            <v>257</v>
          </cell>
          <cell r="AN81">
            <v>257</v>
          </cell>
          <cell r="AO81">
            <v>771</v>
          </cell>
          <cell r="AP81">
            <v>1028</v>
          </cell>
        </row>
        <row r="82">
          <cell r="C82" t="str">
            <v xml:space="preserve">Southwest  </v>
          </cell>
          <cell r="D82" t="str">
            <v>Bakool</v>
          </cell>
          <cell r="E82" t="str">
            <v>Waajid</v>
          </cell>
          <cell r="I82">
            <v>9386</v>
          </cell>
          <cell r="J82">
            <v>8689</v>
          </cell>
          <cell r="K82">
            <v>9153</v>
          </cell>
          <cell r="L82">
            <v>8271</v>
          </cell>
          <cell r="M82">
            <v>7341</v>
          </cell>
          <cell r="N82">
            <v>6970</v>
          </cell>
          <cell r="O82">
            <v>4925</v>
          </cell>
          <cell r="P82">
            <v>5065</v>
          </cell>
          <cell r="Q82">
            <v>2741</v>
          </cell>
          <cell r="R82">
            <v>3299</v>
          </cell>
          <cell r="S82">
            <v>2230</v>
          </cell>
          <cell r="T82">
            <v>3206</v>
          </cell>
          <cell r="U82">
            <v>2044</v>
          </cell>
          <cell r="V82">
            <v>2370</v>
          </cell>
          <cell r="W82">
            <v>1719</v>
          </cell>
          <cell r="X82">
            <v>2044</v>
          </cell>
          <cell r="Y82">
            <v>1580</v>
          </cell>
          <cell r="Z82">
            <v>1162</v>
          </cell>
          <cell r="AA82">
            <v>883</v>
          </cell>
          <cell r="AB82">
            <v>697</v>
          </cell>
          <cell r="AC82">
            <v>1208</v>
          </cell>
          <cell r="AD82">
            <v>1673</v>
          </cell>
          <cell r="AE82">
            <v>558</v>
          </cell>
          <cell r="AF82">
            <v>650</v>
          </cell>
          <cell r="AG82">
            <v>883</v>
          </cell>
          <cell r="AH82">
            <v>743</v>
          </cell>
          <cell r="AI82">
            <v>279</v>
          </cell>
          <cell r="AJ82">
            <v>325</v>
          </cell>
          <cell r="AK82">
            <v>465</v>
          </cell>
          <cell r="AL82">
            <v>558</v>
          </cell>
          <cell r="AM82">
            <v>139</v>
          </cell>
          <cell r="AN82">
            <v>139</v>
          </cell>
          <cell r="AO82">
            <v>418</v>
          </cell>
          <cell r="AP82">
            <v>558</v>
          </cell>
        </row>
        <row r="83">
          <cell r="C83" t="str">
            <v xml:space="preserve">Southwest  </v>
          </cell>
          <cell r="D83" t="str">
            <v>Bakool</v>
          </cell>
          <cell r="E83" t="str">
            <v>Xudur</v>
          </cell>
          <cell r="I83">
            <v>12042</v>
          </cell>
          <cell r="J83">
            <v>11148</v>
          </cell>
          <cell r="K83">
            <v>11744</v>
          </cell>
          <cell r="L83">
            <v>10612</v>
          </cell>
          <cell r="M83">
            <v>9419</v>
          </cell>
          <cell r="N83">
            <v>8942</v>
          </cell>
          <cell r="O83">
            <v>6319</v>
          </cell>
          <cell r="P83">
            <v>6498</v>
          </cell>
          <cell r="Q83">
            <v>3517</v>
          </cell>
          <cell r="R83">
            <v>4233</v>
          </cell>
          <cell r="S83">
            <v>2862</v>
          </cell>
          <cell r="T83">
            <v>4113</v>
          </cell>
          <cell r="U83">
            <v>2623</v>
          </cell>
          <cell r="V83">
            <v>3040</v>
          </cell>
          <cell r="W83">
            <v>2206</v>
          </cell>
          <cell r="X83">
            <v>2623</v>
          </cell>
          <cell r="Y83">
            <v>2027</v>
          </cell>
          <cell r="Z83">
            <v>1490</v>
          </cell>
          <cell r="AA83">
            <v>1133</v>
          </cell>
          <cell r="AB83">
            <v>894</v>
          </cell>
          <cell r="AC83">
            <v>1550</v>
          </cell>
          <cell r="AD83">
            <v>2146</v>
          </cell>
          <cell r="AE83">
            <v>715</v>
          </cell>
          <cell r="AF83">
            <v>835</v>
          </cell>
          <cell r="AG83">
            <v>1133</v>
          </cell>
          <cell r="AH83">
            <v>954</v>
          </cell>
          <cell r="AI83">
            <v>358</v>
          </cell>
          <cell r="AJ83">
            <v>417</v>
          </cell>
          <cell r="AK83">
            <v>596</v>
          </cell>
          <cell r="AL83">
            <v>715</v>
          </cell>
          <cell r="AM83">
            <v>179</v>
          </cell>
          <cell r="AN83">
            <v>179</v>
          </cell>
          <cell r="AO83">
            <v>537</v>
          </cell>
          <cell r="AP83">
            <v>715</v>
          </cell>
        </row>
        <row r="84">
          <cell r="C84" t="str">
            <v xml:space="preserve">Southwest  </v>
          </cell>
          <cell r="D84" t="str">
            <v>Bay</v>
          </cell>
          <cell r="E84" t="str">
            <v>Baydhaba</v>
          </cell>
          <cell r="I84">
            <v>76865</v>
          </cell>
          <cell r="J84">
            <v>71157</v>
          </cell>
          <cell r="K84">
            <v>74963</v>
          </cell>
          <cell r="L84">
            <v>67733</v>
          </cell>
          <cell r="M84">
            <v>60122</v>
          </cell>
          <cell r="N84">
            <v>57078</v>
          </cell>
          <cell r="O84">
            <v>40335</v>
          </cell>
          <cell r="P84">
            <v>41477</v>
          </cell>
          <cell r="Q84">
            <v>22451</v>
          </cell>
          <cell r="R84">
            <v>27017</v>
          </cell>
          <cell r="S84">
            <v>18265</v>
          </cell>
          <cell r="T84">
            <v>26256</v>
          </cell>
          <cell r="U84">
            <v>16743</v>
          </cell>
          <cell r="V84">
            <v>19407</v>
          </cell>
          <cell r="W84">
            <v>14079</v>
          </cell>
          <cell r="X84">
            <v>16743</v>
          </cell>
          <cell r="Y84">
            <v>12938</v>
          </cell>
          <cell r="Z84">
            <v>9513</v>
          </cell>
          <cell r="AA84">
            <v>7230</v>
          </cell>
          <cell r="AB84">
            <v>5708</v>
          </cell>
          <cell r="AC84">
            <v>9894</v>
          </cell>
          <cell r="AD84">
            <v>13699</v>
          </cell>
          <cell r="AE84">
            <v>4566</v>
          </cell>
          <cell r="AF84">
            <v>5327</v>
          </cell>
          <cell r="AG84">
            <v>7230</v>
          </cell>
          <cell r="AH84">
            <v>6088</v>
          </cell>
          <cell r="AI84">
            <v>2283</v>
          </cell>
          <cell r="AJ84">
            <v>2664</v>
          </cell>
          <cell r="AK84">
            <v>3805</v>
          </cell>
          <cell r="AL84">
            <v>4566</v>
          </cell>
          <cell r="AM84">
            <v>1142</v>
          </cell>
          <cell r="AN84">
            <v>1142</v>
          </cell>
          <cell r="AO84">
            <v>3425</v>
          </cell>
          <cell r="AP84">
            <v>4566</v>
          </cell>
        </row>
        <row r="85">
          <cell r="C85" t="str">
            <v xml:space="preserve">Southwest  </v>
          </cell>
          <cell r="D85" t="str">
            <v>Bay</v>
          </cell>
          <cell r="E85" t="str">
            <v>Buur Hakaba</v>
          </cell>
          <cell r="I85">
            <v>21398</v>
          </cell>
          <cell r="J85">
            <v>19809</v>
          </cell>
          <cell r="K85">
            <v>20868</v>
          </cell>
          <cell r="L85">
            <v>18855</v>
          </cell>
          <cell r="M85">
            <v>16737</v>
          </cell>
          <cell r="N85">
            <v>15889</v>
          </cell>
          <cell r="O85">
            <v>11228</v>
          </cell>
          <cell r="P85">
            <v>11546</v>
          </cell>
          <cell r="Q85">
            <v>6250</v>
          </cell>
          <cell r="R85">
            <v>7521</v>
          </cell>
          <cell r="S85">
            <v>5085</v>
          </cell>
          <cell r="T85">
            <v>7309</v>
          </cell>
          <cell r="U85">
            <v>4661</v>
          </cell>
          <cell r="V85">
            <v>5402</v>
          </cell>
          <cell r="W85">
            <v>3919</v>
          </cell>
          <cell r="X85">
            <v>4661</v>
          </cell>
          <cell r="Y85">
            <v>3602</v>
          </cell>
          <cell r="Z85">
            <v>2648</v>
          </cell>
          <cell r="AA85">
            <v>2013</v>
          </cell>
          <cell r="AB85">
            <v>1589</v>
          </cell>
          <cell r="AC85">
            <v>2754</v>
          </cell>
          <cell r="AD85">
            <v>3813</v>
          </cell>
          <cell r="AE85">
            <v>1271</v>
          </cell>
          <cell r="AF85">
            <v>1483</v>
          </cell>
          <cell r="AG85">
            <v>2013</v>
          </cell>
          <cell r="AH85">
            <v>1695</v>
          </cell>
          <cell r="AI85">
            <v>636</v>
          </cell>
          <cell r="AJ85">
            <v>742</v>
          </cell>
          <cell r="AK85">
            <v>1059</v>
          </cell>
          <cell r="AL85">
            <v>1271</v>
          </cell>
          <cell r="AM85">
            <v>318</v>
          </cell>
          <cell r="AN85">
            <v>318</v>
          </cell>
          <cell r="AO85">
            <v>953</v>
          </cell>
          <cell r="AP85">
            <v>1271</v>
          </cell>
        </row>
        <row r="86">
          <cell r="C86" t="str">
            <v xml:space="preserve">Southwest  </v>
          </cell>
          <cell r="D86" t="str">
            <v>Bay</v>
          </cell>
          <cell r="E86" t="str">
            <v>Diinsoor</v>
          </cell>
          <cell r="I86">
            <v>18206</v>
          </cell>
          <cell r="J86">
            <v>16855</v>
          </cell>
          <cell r="K86">
            <v>17756</v>
          </cell>
          <cell r="L86">
            <v>16043</v>
          </cell>
          <cell r="M86">
            <v>14241</v>
          </cell>
          <cell r="N86">
            <v>13520</v>
          </cell>
          <cell r="O86">
            <v>9554</v>
          </cell>
          <cell r="P86">
            <v>9824</v>
          </cell>
          <cell r="Q86">
            <v>5318</v>
          </cell>
          <cell r="R86">
            <v>6399</v>
          </cell>
          <cell r="S86">
            <v>4326</v>
          </cell>
          <cell r="T86">
            <v>6219</v>
          </cell>
          <cell r="U86">
            <v>3966</v>
          </cell>
          <cell r="V86">
            <v>4597</v>
          </cell>
          <cell r="W86">
            <v>3335</v>
          </cell>
          <cell r="X86">
            <v>3966</v>
          </cell>
          <cell r="Y86">
            <v>3064</v>
          </cell>
          <cell r="Z86">
            <v>2253</v>
          </cell>
          <cell r="AA86">
            <v>1712</v>
          </cell>
          <cell r="AB86">
            <v>1352</v>
          </cell>
          <cell r="AC86">
            <v>2343</v>
          </cell>
          <cell r="AD86">
            <v>3245</v>
          </cell>
          <cell r="AE86">
            <v>1082</v>
          </cell>
          <cell r="AF86">
            <v>1262</v>
          </cell>
          <cell r="AG86">
            <v>1712</v>
          </cell>
          <cell r="AH86">
            <v>1442</v>
          </cell>
          <cell r="AI86">
            <v>541</v>
          </cell>
          <cell r="AJ86">
            <v>631</v>
          </cell>
          <cell r="AK86">
            <v>901</v>
          </cell>
          <cell r="AL86">
            <v>1082</v>
          </cell>
          <cell r="AM86">
            <v>270</v>
          </cell>
          <cell r="AN86">
            <v>270</v>
          </cell>
          <cell r="AO86">
            <v>811</v>
          </cell>
          <cell r="AP86">
            <v>1082</v>
          </cell>
        </row>
        <row r="87">
          <cell r="C87" t="str">
            <v xml:space="preserve">Southwest  </v>
          </cell>
          <cell r="D87" t="str">
            <v>Bay</v>
          </cell>
          <cell r="E87" t="str">
            <v>Qansax Dheere</v>
          </cell>
          <cell r="I87">
            <v>14281</v>
          </cell>
          <cell r="J87">
            <v>13220</v>
          </cell>
          <cell r="K87">
            <v>13927</v>
          </cell>
          <cell r="L87">
            <v>12584</v>
          </cell>
          <cell r="M87">
            <v>11170</v>
          </cell>
          <cell r="N87">
            <v>10605</v>
          </cell>
          <cell r="O87">
            <v>7494</v>
          </cell>
          <cell r="P87">
            <v>7706</v>
          </cell>
          <cell r="Q87">
            <v>4171</v>
          </cell>
          <cell r="R87">
            <v>5019</v>
          </cell>
          <cell r="S87">
            <v>3393</v>
          </cell>
          <cell r="T87">
            <v>4878</v>
          </cell>
          <cell r="U87">
            <v>3111</v>
          </cell>
          <cell r="V87">
            <v>3606</v>
          </cell>
          <cell r="W87">
            <v>2616</v>
          </cell>
          <cell r="X87">
            <v>3111</v>
          </cell>
          <cell r="Y87">
            <v>2404</v>
          </cell>
          <cell r="Z87">
            <v>1767</v>
          </cell>
          <cell r="AA87">
            <v>1343</v>
          </cell>
          <cell r="AB87">
            <v>1060</v>
          </cell>
          <cell r="AC87">
            <v>1838</v>
          </cell>
          <cell r="AD87">
            <v>2545</v>
          </cell>
          <cell r="AE87">
            <v>848</v>
          </cell>
          <cell r="AF87">
            <v>990</v>
          </cell>
          <cell r="AG87">
            <v>1343</v>
          </cell>
          <cell r="AH87">
            <v>1131</v>
          </cell>
          <cell r="AI87">
            <v>424</v>
          </cell>
          <cell r="AJ87">
            <v>495</v>
          </cell>
          <cell r="AK87">
            <v>707</v>
          </cell>
          <cell r="AL87">
            <v>848</v>
          </cell>
          <cell r="AM87">
            <v>212</v>
          </cell>
          <cell r="AN87">
            <v>212</v>
          </cell>
          <cell r="AO87">
            <v>636</v>
          </cell>
          <cell r="AP87">
            <v>848</v>
          </cell>
        </row>
        <row r="88">
          <cell r="C88" t="str">
            <v xml:space="preserve">Southwest  </v>
          </cell>
          <cell r="D88" t="str">
            <v>Lower Shabelle</v>
          </cell>
          <cell r="E88" t="str">
            <v>Afgooye</v>
          </cell>
          <cell r="I88">
            <v>58474</v>
          </cell>
          <cell r="J88">
            <v>54132</v>
          </cell>
          <cell r="K88">
            <v>57026</v>
          </cell>
          <cell r="L88">
            <v>51526</v>
          </cell>
          <cell r="M88">
            <v>45737</v>
          </cell>
          <cell r="N88">
            <v>43421</v>
          </cell>
          <cell r="O88">
            <v>30684</v>
          </cell>
          <cell r="P88">
            <v>31553</v>
          </cell>
          <cell r="Q88">
            <v>17079</v>
          </cell>
          <cell r="R88">
            <v>20553</v>
          </cell>
          <cell r="S88">
            <v>13895</v>
          </cell>
          <cell r="T88">
            <v>19974</v>
          </cell>
          <cell r="U88">
            <v>12737</v>
          </cell>
          <cell r="V88">
            <v>14763</v>
          </cell>
          <cell r="W88">
            <v>10711</v>
          </cell>
          <cell r="X88">
            <v>12737</v>
          </cell>
          <cell r="Y88">
            <v>9842</v>
          </cell>
          <cell r="Z88">
            <v>7237</v>
          </cell>
          <cell r="AA88">
            <v>5500</v>
          </cell>
          <cell r="AB88">
            <v>4342</v>
          </cell>
          <cell r="AC88">
            <v>7526</v>
          </cell>
          <cell r="AD88">
            <v>10421</v>
          </cell>
          <cell r="AE88">
            <v>3474</v>
          </cell>
          <cell r="AF88">
            <v>4053</v>
          </cell>
          <cell r="AG88">
            <v>5500</v>
          </cell>
          <cell r="AH88">
            <v>4632</v>
          </cell>
          <cell r="AI88">
            <v>1737</v>
          </cell>
          <cell r="AJ88">
            <v>2026</v>
          </cell>
          <cell r="AK88">
            <v>2895</v>
          </cell>
          <cell r="AL88">
            <v>3474</v>
          </cell>
          <cell r="AM88">
            <v>868</v>
          </cell>
          <cell r="AN88">
            <v>868</v>
          </cell>
          <cell r="AO88">
            <v>2605</v>
          </cell>
          <cell r="AP88">
            <v>3474</v>
          </cell>
        </row>
        <row r="89">
          <cell r="C89" t="str">
            <v xml:space="preserve">Southwest  </v>
          </cell>
          <cell r="D89" t="str">
            <v>Lower Shabelle</v>
          </cell>
          <cell r="E89" t="str">
            <v>Baraawe</v>
          </cell>
          <cell r="I89">
            <v>6783</v>
          </cell>
          <cell r="J89">
            <v>6279</v>
          </cell>
          <cell r="K89">
            <v>6615</v>
          </cell>
          <cell r="L89">
            <v>5977</v>
          </cell>
          <cell r="M89">
            <v>5305</v>
          </cell>
          <cell r="N89">
            <v>5037</v>
          </cell>
          <cell r="O89">
            <v>3559</v>
          </cell>
          <cell r="P89">
            <v>3660</v>
          </cell>
          <cell r="Q89">
            <v>1981</v>
          </cell>
          <cell r="R89">
            <v>2384</v>
          </cell>
          <cell r="S89">
            <v>1612</v>
          </cell>
          <cell r="T89">
            <v>2317</v>
          </cell>
          <cell r="U89">
            <v>1477</v>
          </cell>
          <cell r="V89">
            <v>1712</v>
          </cell>
          <cell r="W89">
            <v>1242</v>
          </cell>
          <cell r="X89">
            <v>1477</v>
          </cell>
          <cell r="Y89">
            <v>1142</v>
          </cell>
          <cell r="Z89">
            <v>839</v>
          </cell>
          <cell r="AA89">
            <v>638</v>
          </cell>
          <cell r="AB89">
            <v>504</v>
          </cell>
          <cell r="AC89">
            <v>873</v>
          </cell>
          <cell r="AD89">
            <v>1209</v>
          </cell>
          <cell r="AE89">
            <v>403</v>
          </cell>
          <cell r="AF89">
            <v>470</v>
          </cell>
          <cell r="AG89">
            <v>638</v>
          </cell>
          <cell r="AH89">
            <v>537</v>
          </cell>
          <cell r="AI89">
            <v>201</v>
          </cell>
          <cell r="AJ89">
            <v>235</v>
          </cell>
          <cell r="AK89">
            <v>336</v>
          </cell>
          <cell r="AL89">
            <v>403</v>
          </cell>
          <cell r="AM89">
            <v>101</v>
          </cell>
          <cell r="AN89">
            <v>101</v>
          </cell>
          <cell r="AO89">
            <v>302</v>
          </cell>
          <cell r="AP89">
            <v>403</v>
          </cell>
        </row>
        <row r="90">
          <cell r="C90" t="str">
            <v xml:space="preserve">Southwest  </v>
          </cell>
          <cell r="D90" t="str">
            <v>Lower Shabelle</v>
          </cell>
          <cell r="E90" t="str">
            <v>Kurtunwaarey</v>
          </cell>
          <cell r="I90">
            <v>7983</v>
          </cell>
          <cell r="J90">
            <v>7390</v>
          </cell>
          <cell r="K90">
            <v>7785</v>
          </cell>
          <cell r="L90">
            <v>7034</v>
          </cell>
          <cell r="M90">
            <v>6244</v>
          </cell>
          <cell r="N90">
            <v>5928</v>
          </cell>
          <cell r="O90">
            <v>4189</v>
          </cell>
          <cell r="P90">
            <v>4308</v>
          </cell>
          <cell r="Q90">
            <v>2332</v>
          </cell>
          <cell r="R90">
            <v>2806</v>
          </cell>
          <cell r="S90">
            <v>1897</v>
          </cell>
          <cell r="T90">
            <v>2727</v>
          </cell>
          <cell r="U90">
            <v>1739</v>
          </cell>
          <cell r="V90">
            <v>2015</v>
          </cell>
          <cell r="W90">
            <v>1462</v>
          </cell>
          <cell r="X90">
            <v>1739</v>
          </cell>
          <cell r="Y90">
            <v>1344</v>
          </cell>
          <cell r="Z90">
            <v>988</v>
          </cell>
          <cell r="AA90">
            <v>751</v>
          </cell>
          <cell r="AB90">
            <v>593</v>
          </cell>
          <cell r="AC90">
            <v>1027</v>
          </cell>
          <cell r="AD90">
            <v>1423</v>
          </cell>
          <cell r="AE90">
            <v>474</v>
          </cell>
          <cell r="AF90">
            <v>553</v>
          </cell>
          <cell r="AG90">
            <v>751</v>
          </cell>
          <cell r="AH90">
            <v>632</v>
          </cell>
          <cell r="AI90">
            <v>237</v>
          </cell>
          <cell r="AJ90">
            <v>277</v>
          </cell>
          <cell r="AK90">
            <v>395</v>
          </cell>
          <cell r="AL90">
            <v>474</v>
          </cell>
          <cell r="AM90">
            <v>119</v>
          </cell>
          <cell r="AN90">
            <v>119</v>
          </cell>
          <cell r="AO90">
            <v>356</v>
          </cell>
          <cell r="AP90">
            <v>474</v>
          </cell>
        </row>
        <row r="91">
          <cell r="C91" t="str">
            <v xml:space="preserve">Southwest  </v>
          </cell>
          <cell r="D91" t="str">
            <v>Lower Shabelle</v>
          </cell>
          <cell r="E91" t="str">
            <v>Marka</v>
          </cell>
          <cell r="I91">
            <v>30595</v>
          </cell>
          <cell r="J91">
            <v>28323</v>
          </cell>
          <cell r="K91">
            <v>29838</v>
          </cell>
          <cell r="L91">
            <v>26960</v>
          </cell>
          <cell r="M91">
            <v>23931</v>
          </cell>
          <cell r="N91">
            <v>22719</v>
          </cell>
          <cell r="O91">
            <v>16055</v>
          </cell>
          <cell r="P91">
            <v>16509</v>
          </cell>
          <cell r="Q91">
            <v>8936</v>
          </cell>
          <cell r="R91">
            <v>10754</v>
          </cell>
          <cell r="S91">
            <v>7270</v>
          </cell>
          <cell r="T91">
            <v>10451</v>
          </cell>
          <cell r="U91">
            <v>6664</v>
          </cell>
          <cell r="V91">
            <v>7725</v>
          </cell>
          <cell r="W91">
            <v>5604</v>
          </cell>
          <cell r="X91">
            <v>6664</v>
          </cell>
          <cell r="Y91">
            <v>5150</v>
          </cell>
          <cell r="Z91">
            <v>3787</v>
          </cell>
          <cell r="AA91">
            <v>2878</v>
          </cell>
          <cell r="AB91">
            <v>2272</v>
          </cell>
          <cell r="AC91">
            <v>3938</v>
          </cell>
          <cell r="AD91">
            <v>5453</v>
          </cell>
          <cell r="AE91">
            <v>1818</v>
          </cell>
          <cell r="AF91">
            <v>2120</v>
          </cell>
          <cell r="AG91">
            <v>2878</v>
          </cell>
          <cell r="AH91">
            <v>2423</v>
          </cell>
          <cell r="AI91">
            <v>909</v>
          </cell>
          <cell r="AJ91">
            <v>1060</v>
          </cell>
          <cell r="AK91">
            <v>1515</v>
          </cell>
          <cell r="AL91">
            <v>1818</v>
          </cell>
          <cell r="AM91">
            <v>454</v>
          </cell>
          <cell r="AN91">
            <v>454</v>
          </cell>
          <cell r="AO91">
            <v>1363</v>
          </cell>
          <cell r="AP91">
            <v>1818</v>
          </cell>
        </row>
        <row r="92">
          <cell r="C92" t="str">
            <v xml:space="preserve">Southwest  </v>
          </cell>
          <cell r="D92" t="str">
            <v>Lower Shabelle</v>
          </cell>
          <cell r="E92" t="str">
            <v>Qoryooley</v>
          </cell>
          <cell r="I92">
            <v>15670</v>
          </cell>
          <cell r="J92">
            <v>14506</v>
          </cell>
          <cell r="K92">
            <v>15282</v>
          </cell>
          <cell r="L92">
            <v>13808</v>
          </cell>
          <cell r="M92">
            <v>12256</v>
          </cell>
          <cell r="N92">
            <v>11636</v>
          </cell>
          <cell r="O92">
            <v>8223</v>
          </cell>
          <cell r="P92">
            <v>8455</v>
          </cell>
          <cell r="Q92">
            <v>4577</v>
          </cell>
          <cell r="R92">
            <v>5508</v>
          </cell>
          <cell r="S92">
            <v>3723</v>
          </cell>
          <cell r="T92">
            <v>5353</v>
          </cell>
          <cell r="U92">
            <v>3413</v>
          </cell>
          <cell r="V92">
            <v>3956</v>
          </cell>
          <cell r="W92">
            <v>2870</v>
          </cell>
          <cell r="X92">
            <v>3413</v>
          </cell>
          <cell r="Y92">
            <v>2637</v>
          </cell>
          <cell r="Z92">
            <v>1939</v>
          </cell>
          <cell r="AA92">
            <v>1474</v>
          </cell>
          <cell r="AB92">
            <v>1164</v>
          </cell>
          <cell r="AC92">
            <v>2017</v>
          </cell>
          <cell r="AD92">
            <v>2793</v>
          </cell>
          <cell r="AE92">
            <v>931</v>
          </cell>
          <cell r="AF92">
            <v>1086</v>
          </cell>
          <cell r="AG92">
            <v>1474</v>
          </cell>
          <cell r="AH92">
            <v>1241</v>
          </cell>
          <cell r="AI92">
            <v>465</v>
          </cell>
          <cell r="AJ92">
            <v>543</v>
          </cell>
          <cell r="AK92">
            <v>776</v>
          </cell>
          <cell r="AL92">
            <v>931</v>
          </cell>
          <cell r="AM92">
            <v>233</v>
          </cell>
          <cell r="AN92">
            <v>233</v>
          </cell>
          <cell r="AO92">
            <v>698</v>
          </cell>
          <cell r="AP92">
            <v>931</v>
          </cell>
        </row>
        <row r="93">
          <cell r="C93" t="str">
            <v xml:space="preserve">Southwest  </v>
          </cell>
          <cell r="D93" t="str">
            <v>Lower Shabelle</v>
          </cell>
          <cell r="E93" t="str">
            <v>Sablaale</v>
          </cell>
          <cell r="I93">
            <v>7838</v>
          </cell>
          <cell r="J93">
            <v>7256</v>
          </cell>
          <cell r="K93">
            <v>7644</v>
          </cell>
          <cell r="L93">
            <v>6906</v>
          </cell>
          <cell r="M93">
            <v>6130</v>
          </cell>
          <cell r="N93">
            <v>5820</v>
          </cell>
          <cell r="O93">
            <v>4113</v>
          </cell>
          <cell r="P93">
            <v>4229</v>
          </cell>
          <cell r="Q93">
            <v>2289</v>
          </cell>
          <cell r="R93">
            <v>2755</v>
          </cell>
          <cell r="S93">
            <v>1862</v>
          </cell>
          <cell r="T93">
            <v>2677</v>
          </cell>
          <cell r="U93">
            <v>1707</v>
          </cell>
          <cell r="V93">
            <v>1979</v>
          </cell>
          <cell r="W93">
            <v>1436</v>
          </cell>
          <cell r="X93">
            <v>1707</v>
          </cell>
          <cell r="Y93">
            <v>1319</v>
          </cell>
          <cell r="Z93">
            <v>970</v>
          </cell>
          <cell r="AA93">
            <v>737</v>
          </cell>
          <cell r="AB93">
            <v>582</v>
          </cell>
          <cell r="AC93">
            <v>1009</v>
          </cell>
          <cell r="AD93">
            <v>1397</v>
          </cell>
          <cell r="AE93">
            <v>466</v>
          </cell>
          <cell r="AF93">
            <v>543</v>
          </cell>
          <cell r="AG93">
            <v>737</v>
          </cell>
          <cell r="AH93">
            <v>621</v>
          </cell>
          <cell r="AI93">
            <v>233</v>
          </cell>
          <cell r="AJ93">
            <v>272</v>
          </cell>
          <cell r="AK93">
            <v>388</v>
          </cell>
          <cell r="AL93">
            <v>466</v>
          </cell>
          <cell r="AM93">
            <v>116</v>
          </cell>
          <cell r="AN93">
            <v>116</v>
          </cell>
          <cell r="AO93">
            <v>349</v>
          </cell>
          <cell r="AP93">
            <v>466</v>
          </cell>
        </row>
        <row r="94">
          <cell r="C94" t="str">
            <v xml:space="preserve">Southwest  </v>
          </cell>
          <cell r="D94" t="str">
            <v>Lower Shabelle</v>
          </cell>
          <cell r="E94" t="str">
            <v>Wanla Weyn</v>
          </cell>
          <cell r="I94">
            <v>39568</v>
          </cell>
          <cell r="J94">
            <v>36630</v>
          </cell>
          <cell r="K94">
            <v>38589</v>
          </cell>
          <cell r="L94">
            <v>34867</v>
          </cell>
          <cell r="M94">
            <v>30950</v>
          </cell>
          <cell r="N94">
            <v>29383</v>
          </cell>
          <cell r="O94">
            <v>20764</v>
          </cell>
          <cell r="P94">
            <v>21351</v>
          </cell>
          <cell r="Q94">
            <v>11557</v>
          </cell>
          <cell r="R94">
            <v>13908</v>
          </cell>
          <cell r="S94">
            <v>9402</v>
          </cell>
          <cell r="T94">
            <v>13516</v>
          </cell>
          <cell r="U94">
            <v>8619</v>
          </cell>
          <cell r="V94">
            <v>9990</v>
          </cell>
          <cell r="W94">
            <v>7248</v>
          </cell>
          <cell r="X94">
            <v>8619</v>
          </cell>
          <cell r="Y94">
            <v>6660</v>
          </cell>
          <cell r="Z94">
            <v>4897</v>
          </cell>
          <cell r="AA94">
            <v>3722</v>
          </cell>
          <cell r="AB94">
            <v>2938</v>
          </cell>
          <cell r="AC94">
            <v>5093</v>
          </cell>
          <cell r="AD94">
            <v>7052</v>
          </cell>
          <cell r="AE94">
            <v>2351</v>
          </cell>
          <cell r="AF94">
            <v>2742</v>
          </cell>
          <cell r="AG94">
            <v>3722</v>
          </cell>
          <cell r="AH94">
            <v>3134</v>
          </cell>
          <cell r="AI94">
            <v>1175</v>
          </cell>
          <cell r="AJ94">
            <v>1371</v>
          </cell>
          <cell r="AK94">
            <v>1959</v>
          </cell>
          <cell r="AL94">
            <v>2351</v>
          </cell>
          <cell r="AM94">
            <v>588</v>
          </cell>
          <cell r="AN94">
            <v>588</v>
          </cell>
          <cell r="AO94">
            <v>1763</v>
          </cell>
          <cell r="AP94">
            <v>2351</v>
          </cell>
        </row>
      </sheetData>
      <sheetData sheetId="4"/>
      <sheetData sheetId="5"/>
      <sheetData sheetId="6">
        <row r="2">
          <cell r="K2"/>
        </row>
        <row r="4">
          <cell r="D4" t="str">
            <v xml:space="preserve">Banadir  </v>
          </cell>
          <cell r="E4" t="str">
            <v>Banadir</v>
          </cell>
          <cell r="F4" t="str">
            <v>Bondhere</v>
          </cell>
          <cell r="G4" t="str">
            <v>SO2202</v>
          </cell>
          <cell r="J4">
            <v>6452</v>
          </cell>
          <cell r="K4">
            <v>5972</v>
          </cell>
          <cell r="L4">
            <v>14430.7</v>
          </cell>
          <cell r="M4">
            <v>14066.21</v>
          </cell>
          <cell r="N4">
            <v>11516.3</v>
          </cell>
          <cell r="O4">
            <v>12771.79</v>
          </cell>
          <cell r="P4">
            <v>1613</v>
          </cell>
          <cell r="Q4">
            <v>1613</v>
          </cell>
        </row>
        <row r="5">
          <cell r="D5" t="str">
            <v xml:space="preserve">Banadir  </v>
          </cell>
          <cell r="E5" t="str">
            <v>Banadir</v>
          </cell>
          <cell r="F5" t="str">
            <v>Cabdulasis</v>
          </cell>
          <cell r="G5" t="str">
            <v>SO2201</v>
          </cell>
          <cell r="J5">
            <v>1512</v>
          </cell>
          <cell r="K5">
            <v>1400</v>
          </cell>
          <cell r="L5">
            <v>3381.6860000000001</v>
          </cell>
          <cell r="M5">
            <v>3296.7739999999999</v>
          </cell>
          <cell r="N5">
            <v>2699.3139999999999</v>
          </cell>
          <cell r="O5">
            <v>2994.2260000000001</v>
          </cell>
          <cell r="P5">
            <v>377</v>
          </cell>
          <cell r="Q5">
            <v>378</v>
          </cell>
        </row>
        <row r="6">
          <cell r="D6" t="str">
            <v xml:space="preserve">Banadir  </v>
          </cell>
          <cell r="E6" t="str">
            <v>Banadir</v>
          </cell>
          <cell r="F6" t="str">
            <v>Daynile</v>
          </cell>
          <cell r="G6" t="str">
            <v>SO2203</v>
          </cell>
          <cell r="J6">
            <v>68635</v>
          </cell>
          <cell r="K6">
            <v>63524</v>
          </cell>
          <cell r="L6">
            <v>153498.50599999999</v>
          </cell>
          <cell r="M6">
            <v>149623.39600000001</v>
          </cell>
          <cell r="N6">
            <v>122500.49400000001</v>
          </cell>
          <cell r="O6">
            <v>135868.60399999999</v>
          </cell>
          <cell r="P6">
            <v>17159</v>
          </cell>
          <cell r="Q6">
            <v>17158</v>
          </cell>
        </row>
        <row r="7">
          <cell r="D7" t="str">
            <v xml:space="preserve">Banadir  </v>
          </cell>
          <cell r="E7" t="str">
            <v>Banadir</v>
          </cell>
          <cell r="F7" t="str">
            <v>Dharkenley</v>
          </cell>
          <cell r="G7" t="str">
            <v>SO2204</v>
          </cell>
          <cell r="J7">
            <v>10480</v>
          </cell>
          <cell r="K7">
            <v>9700</v>
          </cell>
          <cell r="L7">
            <v>23437.892</v>
          </cell>
          <cell r="M7">
            <v>22846.508000000002</v>
          </cell>
          <cell r="N7">
            <v>18704.108</v>
          </cell>
          <cell r="O7">
            <v>20745.491999999998</v>
          </cell>
          <cell r="P7">
            <v>2619</v>
          </cell>
          <cell r="Q7">
            <v>2620</v>
          </cell>
        </row>
        <row r="8">
          <cell r="D8" t="str">
            <v xml:space="preserve">Banadir  </v>
          </cell>
          <cell r="E8" t="str">
            <v>Banadir</v>
          </cell>
          <cell r="F8" t="str">
            <v>Hamar Jabjab</v>
          </cell>
          <cell r="G8" t="str">
            <v>SO2205</v>
          </cell>
          <cell r="J8">
            <v>4540</v>
          </cell>
          <cell r="K8">
            <v>4202</v>
          </cell>
          <cell r="L8">
            <v>10152.9</v>
          </cell>
          <cell r="M8">
            <v>9896.5499999999993</v>
          </cell>
          <cell r="N8">
            <v>8102.1</v>
          </cell>
          <cell r="O8">
            <v>8985.4500000000007</v>
          </cell>
          <cell r="P8">
            <v>1134</v>
          </cell>
          <cell r="Q8">
            <v>1135</v>
          </cell>
        </row>
        <row r="9">
          <cell r="D9" t="str">
            <v xml:space="preserve">Banadir  </v>
          </cell>
          <cell r="E9" t="str">
            <v>Banadir</v>
          </cell>
          <cell r="F9" t="str">
            <v>Hamar Weyne</v>
          </cell>
          <cell r="G9" t="str">
            <v>SO2206</v>
          </cell>
          <cell r="J9">
            <v>6809</v>
          </cell>
          <cell r="K9">
            <v>6302</v>
          </cell>
          <cell r="L9">
            <v>15228.236000000001</v>
          </cell>
          <cell r="M9">
            <v>14844.132</v>
          </cell>
          <cell r="N9">
            <v>12154.763999999999</v>
          </cell>
          <cell r="O9">
            <v>13478.868</v>
          </cell>
          <cell r="P9">
            <v>1703</v>
          </cell>
          <cell r="Q9">
            <v>1703</v>
          </cell>
        </row>
        <row r="10">
          <cell r="D10" t="str">
            <v xml:space="preserve">Banadir  </v>
          </cell>
          <cell r="E10" t="str">
            <v>Banadir</v>
          </cell>
          <cell r="F10" t="str">
            <v>Hawl Wadaag</v>
          </cell>
          <cell r="G10" t="str">
            <v>SO2207</v>
          </cell>
          <cell r="J10">
            <v>11118</v>
          </cell>
          <cell r="K10">
            <v>10290</v>
          </cell>
          <cell r="L10">
            <v>24864.491999999998</v>
          </cell>
          <cell r="M10">
            <v>24237.266</v>
          </cell>
          <cell r="N10">
            <v>19843.508000000002</v>
          </cell>
          <cell r="O10">
            <v>22009.734</v>
          </cell>
          <cell r="P10">
            <v>2779</v>
          </cell>
          <cell r="Q10">
            <v>2779</v>
          </cell>
        </row>
        <row r="11">
          <cell r="D11" t="str">
            <v xml:space="preserve">Banadir  </v>
          </cell>
          <cell r="E11" t="str">
            <v>Banadir</v>
          </cell>
          <cell r="F11" t="str">
            <v>Heliwa</v>
          </cell>
          <cell r="G11" t="str">
            <v>SO2209</v>
          </cell>
          <cell r="J11">
            <v>34495</v>
          </cell>
          <cell r="K11">
            <v>31926</v>
          </cell>
          <cell r="L11">
            <v>77146.714000000007</v>
          </cell>
          <cell r="M11">
            <v>75199.351999999999</v>
          </cell>
          <cell r="N11">
            <v>61569.286</v>
          </cell>
          <cell r="O11">
            <v>68284.648000000001</v>
          </cell>
          <cell r="P11">
            <v>8623</v>
          </cell>
          <cell r="Q11">
            <v>8623</v>
          </cell>
        </row>
        <row r="12">
          <cell r="D12" t="str">
            <v xml:space="preserve">Banadir  </v>
          </cell>
          <cell r="E12" t="str">
            <v>Banadir</v>
          </cell>
          <cell r="F12" t="str">
            <v>Hodan</v>
          </cell>
          <cell r="G12" t="str">
            <v>SO2208</v>
          </cell>
          <cell r="J12">
            <v>10375</v>
          </cell>
          <cell r="K12">
            <v>9602</v>
          </cell>
          <cell r="L12">
            <v>23202.367999999999</v>
          </cell>
          <cell r="M12">
            <v>22616.597999999998</v>
          </cell>
          <cell r="N12">
            <v>18518.631999999998</v>
          </cell>
          <cell r="O12">
            <v>20537.402000000002</v>
          </cell>
          <cell r="P12">
            <v>2594</v>
          </cell>
          <cell r="Q12">
            <v>2594</v>
          </cell>
        </row>
        <row r="13">
          <cell r="D13" t="str">
            <v xml:space="preserve">Banadir  </v>
          </cell>
          <cell r="E13" t="str">
            <v>Banadir</v>
          </cell>
          <cell r="F13" t="str">
            <v>Kahda</v>
          </cell>
          <cell r="G13" t="str">
            <v>SO2210</v>
          </cell>
          <cell r="J13">
            <v>47611</v>
          </cell>
          <cell r="K13">
            <v>44066</v>
          </cell>
          <cell r="L13">
            <v>106479.776</v>
          </cell>
          <cell r="M13">
            <v>103792.43400000001</v>
          </cell>
          <cell r="N13">
            <v>84978.224000000002</v>
          </cell>
          <cell r="O13">
            <v>94251.565999999992</v>
          </cell>
          <cell r="P13">
            <v>11904</v>
          </cell>
          <cell r="Q13">
            <v>11903</v>
          </cell>
        </row>
        <row r="14">
          <cell r="D14" t="str">
            <v xml:space="preserve">Banadir  </v>
          </cell>
          <cell r="E14" t="str">
            <v>Banadir</v>
          </cell>
          <cell r="F14" t="str">
            <v>Karaan</v>
          </cell>
          <cell r="G14" t="str">
            <v>SO2211</v>
          </cell>
          <cell r="J14">
            <v>12406</v>
          </cell>
          <cell r="K14">
            <v>11482</v>
          </cell>
          <cell r="L14">
            <v>27745.218000000001</v>
          </cell>
          <cell r="M14">
            <v>27044.694</v>
          </cell>
          <cell r="N14">
            <v>22143.781999999999</v>
          </cell>
          <cell r="O14">
            <v>24560.306</v>
          </cell>
          <cell r="P14">
            <v>3102</v>
          </cell>
          <cell r="Q14">
            <v>3102</v>
          </cell>
        </row>
        <row r="15">
          <cell r="D15" t="str">
            <v xml:space="preserve">Banadir  </v>
          </cell>
          <cell r="E15" t="str">
            <v>Banadir</v>
          </cell>
          <cell r="F15" t="str">
            <v>Shangaani</v>
          </cell>
          <cell r="G15" t="str">
            <v>SO2212</v>
          </cell>
          <cell r="J15">
            <v>2579</v>
          </cell>
          <cell r="K15">
            <v>2387</v>
          </cell>
          <cell r="L15">
            <v>5766.4520000000002</v>
          </cell>
          <cell r="M15">
            <v>5621.47</v>
          </cell>
          <cell r="N15">
            <v>4600.5479999999998</v>
          </cell>
          <cell r="O15">
            <v>5104.53</v>
          </cell>
          <cell r="P15">
            <v>645</v>
          </cell>
          <cell r="Q15">
            <v>644</v>
          </cell>
        </row>
        <row r="16">
          <cell r="D16" t="str">
            <v xml:space="preserve">Banadir  </v>
          </cell>
          <cell r="E16" t="str">
            <v>Banadir</v>
          </cell>
          <cell r="F16" t="str">
            <v>Shibis</v>
          </cell>
          <cell r="G16" t="str">
            <v>SO2213</v>
          </cell>
          <cell r="J16">
            <v>12079</v>
          </cell>
          <cell r="K16">
            <v>11180</v>
          </cell>
          <cell r="L16">
            <v>27014.347999999998</v>
          </cell>
          <cell r="M16">
            <v>26333.052</v>
          </cell>
          <cell r="N16">
            <v>21559.652000000002</v>
          </cell>
          <cell r="O16">
            <v>23912.948</v>
          </cell>
          <cell r="P16">
            <v>3021</v>
          </cell>
          <cell r="Q16">
            <v>3020</v>
          </cell>
        </row>
        <row r="17">
          <cell r="D17" t="str">
            <v xml:space="preserve">Banadir  </v>
          </cell>
          <cell r="E17" t="str">
            <v>Banadir</v>
          </cell>
          <cell r="F17" t="str">
            <v>Waaberi</v>
          </cell>
          <cell r="G17" t="str">
            <v>SO2214</v>
          </cell>
          <cell r="J17">
            <v>6468</v>
          </cell>
          <cell r="K17">
            <v>5986</v>
          </cell>
          <cell r="L17">
            <v>14464.84</v>
          </cell>
          <cell r="M17">
            <v>14099.35</v>
          </cell>
          <cell r="N17">
            <v>11544.16</v>
          </cell>
          <cell r="O17">
            <v>12802.65</v>
          </cell>
          <cell r="P17">
            <v>1617</v>
          </cell>
          <cell r="Q17">
            <v>1617</v>
          </cell>
        </row>
        <row r="18">
          <cell r="D18" t="str">
            <v xml:space="preserve">Banadir  </v>
          </cell>
          <cell r="E18" t="str">
            <v>Banadir</v>
          </cell>
          <cell r="F18" t="str">
            <v>Wadajir (Medina)</v>
          </cell>
          <cell r="G18" t="str">
            <v>SO2215</v>
          </cell>
          <cell r="J18">
            <v>52962</v>
          </cell>
          <cell r="K18">
            <v>49018</v>
          </cell>
          <cell r="L18">
            <v>118447.588</v>
          </cell>
          <cell r="M18">
            <v>115457.054</v>
          </cell>
          <cell r="N18">
            <v>94527.411999999997</v>
          </cell>
          <cell r="O18">
            <v>104843.946</v>
          </cell>
          <cell r="P18">
            <v>13241</v>
          </cell>
          <cell r="Q18">
            <v>13240</v>
          </cell>
        </row>
        <row r="19">
          <cell r="D19" t="str">
            <v xml:space="preserve">Banadir  </v>
          </cell>
          <cell r="E19" t="str">
            <v>Banadir</v>
          </cell>
          <cell r="F19" t="str">
            <v>Wardhigley</v>
          </cell>
          <cell r="G19" t="str">
            <v>SO2216</v>
          </cell>
          <cell r="J19">
            <v>10898</v>
          </cell>
          <cell r="K19">
            <v>10086</v>
          </cell>
          <cell r="L19">
            <v>24372.760000000002</v>
          </cell>
          <cell r="M19">
            <v>23757.148000000001</v>
          </cell>
          <cell r="N19">
            <v>19450.239999999998</v>
          </cell>
          <cell r="O19">
            <v>21574.851999999999</v>
          </cell>
          <cell r="P19">
            <v>2725</v>
          </cell>
          <cell r="Q19">
            <v>2725</v>
          </cell>
        </row>
        <row r="20">
          <cell r="D20" t="str">
            <v xml:space="preserve">Banadir  </v>
          </cell>
          <cell r="E20" t="str">
            <v>Banadir</v>
          </cell>
          <cell r="F20" t="str">
            <v>Yaaqshid</v>
          </cell>
          <cell r="G20" t="str">
            <v>SO2217</v>
          </cell>
          <cell r="J20">
            <v>8143</v>
          </cell>
          <cell r="K20">
            <v>7537</v>
          </cell>
          <cell r="L20">
            <v>18212.153999999999</v>
          </cell>
          <cell r="M20">
            <v>17752.752</v>
          </cell>
          <cell r="N20">
            <v>14533.846</v>
          </cell>
          <cell r="O20">
            <v>16120.248</v>
          </cell>
          <cell r="P20">
            <v>2036</v>
          </cell>
          <cell r="Q20">
            <v>2036</v>
          </cell>
        </row>
        <row r="21">
          <cell r="D21" t="str">
            <v xml:space="preserve">Galmudug  </v>
          </cell>
          <cell r="E21" t="str">
            <v>Galgaduud</v>
          </cell>
          <cell r="F21" t="str">
            <v>Cabudwaaq</v>
          </cell>
          <cell r="G21" t="str">
            <v>SO1902</v>
          </cell>
          <cell r="J21">
            <v>26124</v>
          </cell>
          <cell r="K21">
            <v>21514</v>
          </cell>
          <cell r="L21">
            <v>48723.245999999999</v>
          </cell>
          <cell r="M21">
            <v>43398.233999999997</v>
          </cell>
          <cell r="N21">
            <v>28662.754000000001</v>
          </cell>
          <cell r="O21">
            <v>38376.766000000003</v>
          </cell>
          <cell r="P21">
            <v>5158</v>
          </cell>
          <cell r="Q21">
            <v>6696</v>
          </cell>
        </row>
        <row r="22">
          <cell r="D22" t="str">
            <v xml:space="preserve">Galmudug  </v>
          </cell>
          <cell r="E22" t="str">
            <v>Galgaduud</v>
          </cell>
          <cell r="F22" t="str">
            <v>Cadaado</v>
          </cell>
          <cell r="G22" t="str">
            <v>SO1903</v>
          </cell>
          <cell r="J22">
            <v>16763</v>
          </cell>
          <cell r="K22">
            <v>13805</v>
          </cell>
          <cell r="L22">
            <v>31264.739999999998</v>
          </cell>
          <cell r="M22">
            <v>27847.25</v>
          </cell>
          <cell r="N22">
            <v>18392.260000000002</v>
          </cell>
          <cell r="O22">
            <v>24626.75</v>
          </cell>
          <cell r="P22">
            <v>3310</v>
          </cell>
          <cell r="Q22">
            <v>4296</v>
          </cell>
        </row>
        <row r="23">
          <cell r="D23" t="str">
            <v xml:space="preserve">Galmudug  </v>
          </cell>
          <cell r="E23" t="str">
            <v>Galgaduud</v>
          </cell>
          <cell r="F23" t="str">
            <v>Ceel Buur</v>
          </cell>
          <cell r="G23" t="str">
            <v>SO1904</v>
          </cell>
          <cell r="J23">
            <v>13385</v>
          </cell>
          <cell r="K23">
            <v>11023</v>
          </cell>
          <cell r="L23">
            <v>24963.452000000001</v>
          </cell>
          <cell r="M23">
            <v>22234.804</v>
          </cell>
          <cell r="N23">
            <v>14686.548000000001</v>
          </cell>
          <cell r="O23">
            <v>19663.196</v>
          </cell>
          <cell r="P23">
            <v>2644</v>
          </cell>
          <cell r="Q23">
            <v>3431</v>
          </cell>
        </row>
        <row r="24">
          <cell r="D24" t="str">
            <v xml:space="preserve">Galmudug  </v>
          </cell>
          <cell r="E24" t="str">
            <v>Galgaduud</v>
          </cell>
          <cell r="F24" t="str">
            <v>Ceel Dheer</v>
          </cell>
          <cell r="G24" t="str">
            <v>SO1905</v>
          </cell>
          <cell r="J24">
            <v>12964</v>
          </cell>
          <cell r="K24">
            <v>10677</v>
          </cell>
          <cell r="L24">
            <v>24178.597999999998</v>
          </cell>
          <cell r="M24">
            <v>21536.495999999999</v>
          </cell>
          <cell r="N24">
            <v>14224.402</v>
          </cell>
          <cell r="O24">
            <v>19046.504000000001</v>
          </cell>
          <cell r="P24">
            <v>2561</v>
          </cell>
          <cell r="Q24">
            <v>3323</v>
          </cell>
        </row>
        <row r="25">
          <cell r="D25" t="str">
            <v xml:space="preserve">Galmudug  </v>
          </cell>
          <cell r="E25" t="str">
            <v>Galgaduud</v>
          </cell>
          <cell r="F25" t="str">
            <v>Dhuusamarreeb</v>
          </cell>
          <cell r="G25" t="str">
            <v>SO1901</v>
          </cell>
          <cell r="J25">
            <v>30875</v>
          </cell>
          <cell r="K25">
            <v>25426</v>
          </cell>
          <cell r="L25">
            <v>57581.27</v>
          </cell>
          <cell r="M25">
            <v>51289.444000000003</v>
          </cell>
          <cell r="N25">
            <v>33874.729999999996</v>
          </cell>
          <cell r="O25">
            <v>45356.555999999997</v>
          </cell>
          <cell r="P25">
            <v>6098</v>
          </cell>
          <cell r="Q25">
            <v>7915</v>
          </cell>
        </row>
        <row r="26">
          <cell r="D26" t="str">
            <v xml:space="preserve">Puntland  </v>
          </cell>
          <cell r="E26" t="str">
            <v>Mudug</v>
          </cell>
          <cell r="F26" t="str">
            <v>Gaalkacyo North</v>
          </cell>
          <cell r="G26" t="str">
            <v>SO1801</v>
          </cell>
          <cell r="J26">
            <v>72680</v>
          </cell>
          <cell r="K26">
            <v>63553</v>
          </cell>
          <cell r="L26">
            <v>143467.26999999999</v>
          </cell>
          <cell r="M26">
            <v>135034.46</v>
          </cell>
          <cell r="N26">
            <v>104659.73</v>
          </cell>
          <cell r="O26">
            <v>123235.54000000001</v>
          </cell>
          <cell r="P26">
            <v>15550</v>
          </cell>
          <cell r="Q26">
            <v>16565</v>
          </cell>
        </row>
        <row r="27">
          <cell r="D27" t="str">
            <v xml:space="preserve">Galmudug  </v>
          </cell>
          <cell r="E27" t="str">
            <v>Mudug</v>
          </cell>
          <cell r="F27" t="str">
            <v>Gaalkacyo South</v>
          </cell>
          <cell r="G27" t="str">
            <v>SO1801</v>
          </cell>
          <cell r="J27">
            <v>20788</v>
          </cell>
          <cell r="K27">
            <v>17120</v>
          </cell>
          <cell r="L27">
            <v>38770.072</v>
          </cell>
          <cell r="M27">
            <v>34533.07</v>
          </cell>
          <cell r="N27">
            <v>22807.928</v>
          </cell>
          <cell r="O27">
            <v>30537.93</v>
          </cell>
          <cell r="P27">
            <v>4105</v>
          </cell>
          <cell r="Q27">
            <v>5329</v>
          </cell>
        </row>
        <row r="28">
          <cell r="D28" t="str">
            <v xml:space="preserve">Puntland  </v>
          </cell>
          <cell r="E28" t="str">
            <v>Mudug</v>
          </cell>
          <cell r="F28" t="str">
            <v>Galdogob</v>
          </cell>
          <cell r="G28" t="str">
            <v>SO1802</v>
          </cell>
          <cell r="J28">
            <v>20465</v>
          </cell>
          <cell r="K28">
            <v>17895</v>
          </cell>
          <cell r="L28">
            <v>40396.051999999996</v>
          </cell>
          <cell r="M28">
            <v>38022.448000000004</v>
          </cell>
          <cell r="N28">
            <v>29469.948</v>
          </cell>
          <cell r="O28">
            <v>34698.551999999996</v>
          </cell>
          <cell r="P28">
            <v>4378</v>
          </cell>
          <cell r="Q28">
            <v>4664</v>
          </cell>
        </row>
        <row r="29">
          <cell r="D29" t="str">
            <v xml:space="preserve">Galmudug  </v>
          </cell>
          <cell r="E29" t="str">
            <v>Mudug</v>
          </cell>
          <cell r="F29" t="str">
            <v>Hobyo</v>
          </cell>
          <cell r="G29" t="str">
            <v>SO1803</v>
          </cell>
          <cell r="J29">
            <v>23153</v>
          </cell>
          <cell r="K29">
            <v>19067</v>
          </cell>
          <cell r="L29">
            <v>43180.741999999998</v>
          </cell>
          <cell r="M29">
            <v>38461.798000000003</v>
          </cell>
          <cell r="N29">
            <v>25402.258000000002</v>
          </cell>
          <cell r="O29">
            <v>34012.202000000005</v>
          </cell>
          <cell r="P29">
            <v>4572</v>
          </cell>
          <cell r="Q29">
            <v>5934</v>
          </cell>
        </row>
        <row r="30">
          <cell r="D30" t="str">
            <v xml:space="preserve">Galmudug  </v>
          </cell>
          <cell r="E30" t="str">
            <v>Mudug</v>
          </cell>
          <cell r="F30" t="str">
            <v>Jariiban</v>
          </cell>
          <cell r="G30" t="str">
            <v>SO1804</v>
          </cell>
          <cell r="J30">
            <v>23785</v>
          </cell>
          <cell r="K30">
            <v>19588</v>
          </cell>
          <cell r="L30">
            <v>44359.716</v>
          </cell>
          <cell r="M30">
            <v>39511.487999999998</v>
          </cell>
          <cell r="N30">
            <v>26097.284</v>
          </cell>
          <cell r="O30">
            <v>34941.512000000002</v>
          </cell>
          <cell r="P30">
            <v>4697</v>
          </cell>
          <cell r="Q30">
            <v>6096</v>
          </cell>
        </row>
        <row r="31">
          <cell r="D31" t="str">
            <v xml:space="preserve">Galmudug  </v>
          </cell>
          <cell r="E31" t="str">
            <v>Mudug</v>
          </cell>
          <cell r="F31" t="str">
            <v>Xarardheere</v>
          </cell>
          <cell r="G31" t="str">
            <v>SO1805</v>
          </cell>
          <cell r="J31">
            <v>10090</v>
          </cell>
          <cell r="K31">
            <v>8309</v>
          </cell>
          <cell r="L31">
            <v>18817.811999999998</v>
          </cell>
          <cell r="M31">
            <v>16760.988000000001</v>
          </cell>
          <cell r="N31">
            <v>11071.188</v>
          </cell>
          <cell r="O31">
            <v>14823.012000000001</v>
          </cell>
          <cell r="P31">
            <v>1993</v>
          </cell>
          <cell r="Q31">
            <v>2586</v>
          </cell>
        </row>
        <row r="32">
          <cell r="D32" t="str">
            <v xml:space="preserve">Hirshabelle  </v>
          </cell>
          <cell r="E32" t="str">
            <v>Hiraan</v>
          </cell>
          <cell r="F32" t="str">
            <v>Belet Weyne</v>
          </cell>
          <cell r="G32" t="str">
            <v>SO2001</v>
          </cell>
          <cell r="J32">
            <v>38163</v>
          </cell>
          <cell r="K32">
            <v>40274</v>
          </cell>
          <cell r="L32">
            <v>73666.456000000006</v>
          </cell>
          <cell r="M32">
            <v>70772.2</v>
          </cell>
          <cell r="N32">
            <v>54366.544000000002</v>
          </cell>
          <cell r="O32">
            <v>57435.8</v>
          </cell>
          <cell r="P32">
            <v>8441</v>
          </cell>
          <cell r="Q32">
            <v>7563</v>
          </cell>
        </row>
        <row r="33">
          <cell r="D33" t="str">
            <v xml:space="preserve">Hirshabelle  </v>
          </cell>
          <cell r="E33" t="str">
            <v>Hiraan</v>
          </cell>
          <cell r="F33" t="str">
            <v>Bulo Burto</v>
          </cell>
          <cell r="G33" t="str">
            <v>SO2002</v>
          </cell>
          <cell r="J33">
            <v>11300</v>
          </cell>
          <cell r="K33">
            <v>11925</v>
          </cell>
          <cell r="L33">
            <v>21812.745999999999</v>
          </cell>
          <cell r="M33">
            <v>20955.419999999998</v>
          </cell>
          <cell r="N33">
            <v>16098.254000000001</v>
          </cell>
          <cell r="O33">
            <v>17006.580000000002</v>
          </cell>
          <cell r="P33">
            <v>2500</v>
          </cell>
          <cell r="Q33">
            <v>2239</v>
          </cell>
        </row>
        <row r="34">
          <cell r="D34" t="str">
            <v xml:space="preserve">Hirshabelle  </v>
          </cell>
          <cell r="E34" t="str">
            <v>Hiraan</v>
          </cell>
          <cell r="F34" t="str">
            <v>Jalalaqsi</v>
          </cell>
          <cell r="G34" t="str">
            <v>SO2003</v>
          </cell>
          <cell r="J34">
            <v>7182</v>
          </cell>
          <cell r="K34">
            <v>7580</v>
          </cell>
          <cell r="L34">
            <v>13864.368</v>
          </cell>
          <cell r="M34">
            <v>13319.32</v>
          </cell>
          <cell r="N34">
            <v>10230.632</v>
          </cell>
          <cell r="O34">
            <v>10809.68</v>
          </cell>
          <cell r="P34">
            <v>1589</v>
          </cell>
          <cell r="Q34">
            <v>1423</v>
          </cell>
        </row>
        <row r="35">
          <cell r="D35" t="str">
            <v xml:space="preserve">Hirshabelle  </v>
          </cell>
          <cell r="E35" t="str">
            <v>Middle Shabelle</v>
          </cell>
          <cell r="F35" t="str">
            <v>Adan Yabaal</v>
          </cell>
          <cell r="G35" t="str">
            <v>SO2102</v>
          </cell>
          <cell r="J35">
            <v>11399</v>
          </cell>
          <cell r="K35">
            <v>12029</v>
          </cell>
          <cell r="L35">
            <v>22002.92</v>
          </cell>
          <cell r="M35">
            <v>21138.98</v>
          </cell>
          <cell r="N35">
            <v>16238.08</v>
          </cell>
          <cell r="O35">
            <v>17157.02</v>
          </cell>
          <cell r="P35">
            <v>2522</v>
          </cell>
          <cell r="Q35">
            <v>2259</v>
          </cell>
        </row>
        <row r="36">
          <cell r="D36" t="str">
            <v xml:space="preserve">Hirshabelle  </v>
          </cell>
          <cell r="E36" t="str">
            <v>Middle Shabelle</v>
          </cell>
          <cell r="F36" t="str">
            <v>Balcad</v>
          </cell>
          <cell r="G36" t="str">
            <v>SO2103</v>
          </cell>
          <cell r="J36">
            <v>44378</v>
          </cell>
          <cell r="K36">
            <v>46832</v>
          </cell>
          <cell r="L36">
            <v>85662.54</v>
          </cell>
          <cell r="M36">
            <v>82296.288</v>
          </cell>
          <cell r="N36">
            <v>63218.46</v>
          </cell>
          <cell r="O36">
            <v>66788.712</v>
          </cell>
          <cell r="P36">
            <v>9817</v>
          </cell>
          <cell r="Q36">
            <v>8795</v>
          </cell>
        </row>
        <row r="37">
          <cell r="D37" t="str">
            <v xml:space="preserve">Hirshabelle  </v>
          </cell>
          <cell r="E37" t="str">
            <v>Middle Shabelle</v>
          </cell>
          <cell r="F37" t="str">
            <v>Cadale</v>
          </cell>
          <cell r="G37" t="str">
            <v>SO2104</v>
          </cell>
          <cell r="J37">
            <v>9406</v>
          </cell>
          <cell r="K37">
            <v>9926</v>
          </cell>
          <cell r="L37">
            <v>18157.23</v>
          </cell>
          <cell r="M37">
            <v>17443.394</v>
          </cell>
          <cell r="N37">
            <v>13399.77</v>
          </cell>
          <cell r="O37">
            <v>14155.606</v>
          </cell>
          <cell r="P37">
            <v>2080</v>
          </cell>
          <cell r="Q37">
            <v>1865</v>
          </cell>
        </row>
        <row r="38">
          <cell r="D38" t="str">
            <v xml:space="preserve">Hirshabelle  </v>
          </cell>
          <cell r="E38" t="str">
            <v>Middle Shabelle</v>
          </cell>
          <cell r="F38" t="str">
            <v>Jowhar</v>
          </cell>
          <cell r="G38" t="str">
            <v>SO2101</v>
          </cell>
          <cell r="J38">
            <v>48526</v>
          </cell>
          <cell r="K38">
            <v>51210</v>
          </cell>
          <cell r="L38">
            <v>93669.9</v>
          </cell>
          <cell r="M38">
            <v>89989.37</v>
          </cell>
          <cell r="N38">
            <v>69129.100000000006</v>
          </cell>
          <cell r="O38">
            <v>73031.63</v>
          </cell>
          <cell r="P38">
            <v>10733</v>
          </cell>
          <cell r="Q38">
            <v>9616</v>
          </cell>
        </row>
        <row r="39">
          <cell r="D39" t="str">
            <v xml:space="preserve">Jubaland  </v>
          </cell>
          <cell r="E39" t="str">
            <v>Gedo</v>
          </cell>
          <cell r="F39" t="str">
            <v>Baardheere</v>
          </cell>
          <cell r="G39" t="str">
            <v>SO2602</v>
          </cell>
          <cell r="J39">
            <v>24227</v>
          </cell>
          <cell r="K39">
            <v>22963</v>
          </cell>
          <cell r="L39">
            <v>43296.78</v>
          </cell>
          <cell r="M39">
            <v>42640.226000000002</v>
          </cell>
          <cell r="N39">
            <v>33176.22</v>
          </cell>
          <cell r="O39">
            <v>35624.774000000005</v>
          </cell>
          <cell r="P39">
            <v>3897</v>
          </cell>
          <cell r="Q39">
            <v>4108</v>
          </cell>
        </row>
        <row r="40">
          <cell r="D40" t="str">
            <v xml:space="preserve">Jubaland  </v>
          </cell>
          <cell r="E40" t="str">
            <v>Gedo</v>
          </cell>
          <cell r="F40" t="str">
            <v>Belet Xaawo</v>
          </cell>
          <cell r="G40" t="str">
            <v>SO2603</v>
          </cell>
          <cell r="J40">
            <v>20614</v>
          </cell>
          <cell r="K40">
            <v>19538</v>
          </cell>
          <cell r="L40">
            <v>36838.618000000002</v>
          </cell>
          <cell r="M40">
            <v>36280.712</v>
          </cell>
          <cell r="N40">
            <v>28228.382000000001</v>
          </cell>
          <cell r="O40">
            <v>30310.288</v>
          </cell>
          <cell r="P40">
            <v>3316</v>
          </cell>
          <cell r="Q40">
            <v>3495</v>
          </cell>
        </row>
        <row r="41">
          <cell r="D41" t="str">
            <v xml:space="preserve">Jubaland  </v>
          </cell>
          <cell r="E41" t="str">
            <v>Gedo</v>
          </cell>
          <cell r="F41" t="str">
            <v>Ceel Waaq</v>
          </cell>
          <cell r="G41" t="str">
            <v>SO2604</v>
          </cell>
          <cell r="J41">
            <v>12319</v>
          </cell>
          <cell r="K41">
            <v>11677</v>
          </cell>
          <cell r="L41">
            <v>22015.781999999999</v>
          </cell>
          <cell r="M41">
            <v>21682.083999999999</v>
          </cell>
          <cell r="N41">
            <v>16868.218000000001</v>
          </cell>
          <cell r="O41">
            <v>18114.916000000001</v>
          </cell>
          <cell r="P41">
            <v>1981</v>
          </cell>
          <cell r="Q41">
            <v>2089</v>
          </cell>
        </row>
        <row r="42">
          <cell r="D42" t="str">
            <v xml:space="preserve">Jubaland  </v>
          </cell>
          <cell r="E42" t="str">
            <v>Gedo</v>
          </cell>
          <cell r="F42" t="str">
            <v>Doolow</v>
          </cell>
          <cell r="G42" t="str">
            <v>SO2605</v>
          </cell>
          <cell r="J42">
            <v>24481</v>
          </cell>
          <cell r="K42">
            <v>23204</v>
          </cell>
          <cell r="L42">
            <v>43750.338000000003</v>
          </cell>
          <cell r="M42">
            <v>43086.555999999997</v>
          </cell>
          <cell r="N42">
            <v>33527.661999999997</v>
          </cell>
          <cell r="O42">
            <v>35997.444000000003</v>
          </cell>
          <cell r="P42">
            <v>3939</v>
          </cell>
          <cell r="Q42">
            <v>4151</v>
          </cell>
        </row>
        <row r="43">
          <cell r="D43" t="str">
            <v xml:space="preserve">Jubaland  </v>
          </cell>
          <cell r="E43" t="str">
            <v>Gedo</v>
          </cell>
          <cell r="F43" t="str">
            <v>Garbahaarey</v>
          </cell>
          <cell r="G43" t="str">
            <v>SO2601</v>
          </cell>
          <cell r="J43">
            <v>17638</v>
          </cell>
          <cell r="K43">
            <v>16718</v>
          </cell>
          <cell r="L43">
            <v>31521.885999999999</v>
          </cell>
          <cell r="M43">
            <v>31043.33</v>
          </cell>
          <cell r="N43">
            <v>24155.114000000001</v>
          </cell>
          <cell r="O43">
            <v>25936.67</v>
          </cell>
          <cell r="P43">
            <v>2837</v>
          </cell>
          <cell r="Q43">
            <v>2991</v>
          </cell>
        </row>
        <row r="44">
          <cell r="D44" t="str">
            <v xml:space="preserve">Jubaland  </v>
          </cell>
          <cell r="E44" t="str">
            <v>Gedo</v>
          </cell>
          <cell r="F44" t="str">
            <v>Luuq</v>
          </cell>
          <cell r="G44" t="str">
            <v>SO2606</v>
          </cell>
          <cell r="J44">
            <v>16808</v>
          </cell>
          <cell r="K44">
            <v>15931</v>
          </cell>
          <cell r="L44">
            <v>30037.633999999998</v>
          </cell>
          <cell r="M44">
            <v>29582.989999999998</v>
          </cell>
          <cell r="N44">
            <v>23017.366000000002</v>
          </cell>
          <cell r="O44">
            <v>24715.010000000002</v>
          </cell>
          <cell r="P44">
            <v>2703</v>
          </cell>
          <cell r="Q44">
            <v>2850</v>
          </cell>
        </row>
        <row r="45">
          <cell r="D45" t="str">
            <v xml:space="preserve">Jubaland  </v>
          </cell>
          <cell r="E45" t="str">
            <v>Lower Juba</v>
          </cell>
          <cell r="F45" t="str">
            <v>Afmadow</v>
          </cell>
          <cell r="G45" t="str">
            <v>SO2802</v>
          </cell>
          <cell r="J45">
            <v>32841</v>
          </cell>
          <cell r="K45">
            <v>31128</v>
          </cell>
          <cell r="L45">
            <v>58690.91</v>
          </cell>
          <cell r="M45">
            <v>57801.919999999998</v>
          </cell>
          <cell r="N45">
            <v>44974.09</v>
          </cell>
          <cell r="O45">
            <v>48290.080000000002</v>
          </cell>
          <cell r="P45">
            <v>5285</v>
          </cell>
          <cell r="Q45">
            <v>5569</v>
          </cell>
        </row>
        <row r="46">
          <cell r="D46" t="str">
            <v xml:space="preserve">Jubaland  </v>
          </cell>
          <cell r="E46" t="str">
            <v>Lower Juba</v>
          </cell>
          <cell r="F46" t="str">
            <v>Badhaadhe</v>
          </cell>
          <cell r="G46" t="str">
            <v>SO2803</v>
          </cell>
          <cell r="J46">
            <v>10036</v>
          </cell>
          <cell r="K46">
            <v>9513</v>
          </cell>
          <cell r="L46">
            <v>17935.759999999998</v>
          </cell>
          <cell r="M46">
            <v>17664.342000000001</v>
          </cell>
          <cell r="N46">
            <v>13743.24</v>
          </cell>
          <cell r="O46">
            <v>14758.657999999999</v>
          </cell>
          <cell r="P46">
            <v>1614</v>
          </cell>
          <cell r="Q46">
            <v>1702</v>
          </cell>
        </row>
        <row r="47">
          <cell r="D47" t="str">
            <v xml:space="preserve">Jubaland  </v>
          </cell>
          <cell r="E47" t="str">
            <v>Lower Juba</v>
          </cell>
          <cell r="F47" t="str">
            <v>Jamaame</v>
          </cell>
          <cell r="G47" t="str">
            <v>SO2804</v>
          </cell>
          <cell r="J47">
            <v>52235</v>
          </cell>
          <cell r="K47">
            <v>49510</v>
          </cell>
          <cell r="L47">
            <v>93348.403999999995</v>
          </cell>
          <cell r="M47">
            <v>91935.034</v>
          </cell>
          <cell r="N47">
            <v>71530.59599999999</v>
          </cell>
          <cell r="O47">
            <v>76806.966</v>
          </cell>
          <cell r="P47">
            <v>8404</v>
          </cell>
          <cell r="Q47">
            <v>8857</v>
          </cell>
        </row>
        <row r="48">
          <cell r="D48" t="str">
            <v xml:space="preserve">Jubaland  </v>
          </cell>
          <cell r="E48" t="str">
            <v>Lower Juba</v>
          </cell>
          <cell r="F48" t="str">
            <v>Kismaayo</v>
          </cell>
          <cell r="G48" t="str">
            <v>SO2801</v>
          </cell>
          <cell r="J48">
            <v>42711</v>
          </cell>
          <cell r="K48">
            <v>40483</v>
          </cell>
          <cell r="L48">
            <v>76329.987999999998</v>
          </cell>
          <cell r="M48">
            <v>75172.58</v>
          </cell>
          <cell r="N48">
            <v>58490.012000000002</v>
          </cell>
          <cell r="O48">
            <v>62803.42</v>
          </cell>
          <cell r="P48">
            <v>6870</v>
          </cell>
          <cell r="Q48">
            <v>7242</v>
          </cell>
        </row>
        <row r="49">
          <cell r="D49" t="str">
            <v xml:space="preserve">Jubaland  </v>
          </cell>
          <cell r="E49" t="str">
            <v>Middle Juba</v>
          </cell>
          <cell r="F49" t="str">
            <v>Bu'aale</v>
          </cell>
          <cell r="G49" t="str">
            <v>SO2701</v>
          </cell>
          <cell r="J49">
            <v>17770</v>
          </cell>
          <cell r="K49">
            <v>16843</v>
          </cell>
          <cell r="L49">
            <v>31757.585999999999</v>
          </cell>
          <cell r="M49">
            <v>31276.03</v>
          </cell>
          <cell r="N49">
            <v>24333.414000000001</v>
          </cell>
          <cell r="O49">
            <v>26130.97</v>
          </cell>
          <cell r="P49">
            <v>2860</v>
          </cell>
          <cell r="Q49">
            <v>3014</v>
          </cell>
        </row>
        <row r="50">
          <cell r="D50" t="str">
            <v xml:space="preserve">Jubaland  </v>
          </cell>
          <cell r="E50" t="str">
            <v>Middle Juba</v>
          </cell>
          <cell r="F50" t="str">
            <v>Jilib</v>
          </cell>
          <cell r="G50" t="str">
            <v>SO2702</v>
          </cell>
          <cell r="J50">
            <v>20101</v>
          </cell>
          <cell r="K50">
            <v>19053</v>
          </cell>
          <cell r="L50">
            <v>35923.273999999998</v>
          </cell>
          <cell r="M50">
            <v>35378.824000000001</v>
          </cell>
          <cell r="N50">
            <v>27526.725999999999</v>
          </cell>
          <cell r="O50">
            <v>29556.175999999999</v>
          </cell>
          <cell r="P50">
            <v>3233</v>
          </cell>
          <cell r="Q50">
            <v>3410</v>
          </cell>
        </row>
        <row r="51">
          <cell r="D51" t="str">
            <v xml:space="preserve">Jubaland  </v>
          </cell>
          <cell r="E51" t="str">
            <v>Middle Juba</v>
          </cell>
          <cell r="F51" t="str">
            <v>Saakow</v>
          </cell>
          <cell r="G51" t="str">
            <v>SO2703</v>
          </cell>
          <cell r="J51">
            <v>13311</v>
          </cell>
          <cell r="K51">
            <v>12616</v>
          </cell>
          <cell r="L51">
            <v>23788.101999999999</v>
          </cell>
          <cell r="M51">
            <v>23426.878000000001</v>
          </cell>
          <cell r="N51">
            <v>18227.898000000001</v>
          </cell>
          <cell r="O51">
            <v>19572.121999999999</v>
          </cell>
          <cell r="P51">
            <v>2141</v>
          </cell>
          <cell r="Q51">
            <v>2257</v>
          </cell>
        </row>
        <row r="52">
          <cell r="D52" t="str">
            <v xml:space="preserve">Puntland  </v>
          </cell>
          <cell r="E52" t="str">
            <v>Bari</v>
          </cell>
          <cell r="F52" t="str">
            <v>Bandarbeyla</v>
          </cell>
          <cell r="G52" t="str">
            <v>SO1602</v>
          </cell>
          <cell r="J52">
            <v>5570</v>
          </cell>
          <cell r="K52">
            <v>4871</v>
          </cell>
          <cell r="L52">
            <v>10995.874</v>
          </cell>
          <cell r="M52">
            <v>10348.998</v>
          </cell>
          <cell r="N52">
            <v>8021.1260000000002</v>
          </cell>
          <cell r="O52">
            <v>9446.0020000000004</v>
          </cell>
          <cell r="P52">
            <v>1192</v>
          </cell>
          <cell r="Q52">
            <v>1269</v>
          </cell>
        </row>
        <row r="53">
          <cell r="D53" t="str">
            <v xml:space="preserve">Puntland  </v>
          </cell>
          <cell r="E53" t="str">
            <v>Bari</v>
          </cell>
          <cell r="F53" t="str">
            <v>Bossaso</v>
          </cell>
          <cell r="G53" t="str">
            <v>SO1601</v>
          </cell>
          <cell r="J53">
            <v>88128</v>
          </cell>
          <cell r="K53">
            <v>77061</v>
          </cell>
          <cell r="L53">
            <v>173960.86</v>
          </cell>
          <cell r="M53">
            <v>163734.95199999999</v>
          </cell>
          <cell r="N53">
            <v>126904.14</v>
          </cell>
          <cell r="O53">
            <v>149428.04800000001</v>
          </cell>
          <cell r="P53">
            <v>18856</v>
          </cell>
          <cell r="Q53">
            <v>20085</v>
          </cell>
        </row>
        <row r="54">
          <cell r="D54" t="str">
            <v xml:space="preserve">Puntland  </v>
          </cell>
          <cell r="E54" t="str">
            <v>Bari</v>
          </cell>
          <cell r="F54" t="str">
            <v>Caluula</v>
          </cell>
          <cell r="G54" t="str">
            <v>SO1603</v>
          </cell>
          <cell r="J54">
            <v>10612</v>
          </cell>
          <cell r="K54">
            <v>9279</v>
          </cell>
          <cell r="L54">
            <v>20947.704000000002</v>
          </cell>
          <cell r="M54">
            <v>19715.936000000002</v>
          </cell>
          <cell r="N54">
            <v>15282.296</v>
          </cell>
          <cell r="O54">
            <v>17993.063999999998</v>
          </cell>
          <cell r="P54">
            <v>2270</v>
          </cell>
          <cell r="Q54">
            <v>2418</v>
          </cell>
        </row>
        <row r="55">
          <cell r="D55" t="str">
            <v xml:space="preserve">Puntland  </v>
          </cell>
          <cell r="E55" t="str">
            <v>Bari</v>
          </cell>
          <cell r="F55" t="str">
            <v>Iskushuban</v>
          </cell>
          <cell r="G55" t="str">
            <v>SO1604</v>
          </cell>
          <cell r="J55">
            <v>6682</v>
          </cell>
          <cell r="K55">
            <v>5843</v>
          </cell>
          <cell r="L55">
            <v>13189.312</v>
          </cell>
          <cell r="M55">
            <v>12413.538</v>
          </cell>
          <cell r="N55">
            <v>9621.6880000000001</v>
          </cell>
          <cell r="O55">
            <v>11329.462</v>
          </cell>
          <cell r="P55">
            <v>1429</v>
          </cell>
          <cell r="Q55">
            <v>1522</v>
          </cell>
        </row>
        <row r="56">
          <cell r="D56" t="str">
            <v xml:space="preserve">Puntland  </v>
          </cell>
          <cell r="E56" t="str">
            <v>Bari</v>
          </cell>
          <cell r="F56" t="str">
            <v>Qandala</v>
          </cell>
          <cell r="G56" t="str">
            <v>SO1605</v>
          </cell>
          <cell r="J56">
            <v>7153</v>
          </cell>
          <cell r="K56">
            <v>6255</v>
          </cell>
          <cell r="L56">
            <v>14118.778</v>
          </cell>
          <cell r="M56">
            <v>13289.564</v>
          </cell>
          <cell r="N56">
            <v>10299.222</v>
          </cell>
          <cell r="O56">
            <v>12128.436</v>
          </cell>
          <cell r="P56">
            <v>1531</v>
          </cell>
          <cell r="Q56">
            <v>1631</v>
          </cell>
        </row>
        <row r="57">
          <cell r="D57" t="str">
            <v xml:space="preserve">Puntland  </v>
          </cell>
          <cell r="E57" t="str">
            <v>Bari</v>
          </cell>
          <cell r="F57" t="str">
            <v>Qardho</v>
          </cell>
          <cell r="G57" t="str">
            <v>SO1606</v>
          </cell>
          <cell r="J57">
            <v>18713</v>
          </cell>
          <cell r="K57">
            <v>16363</v>
          </cell>
          <cell r="L57">
            <v>36939.256000000001</v>
          </cell>
          <cell r="M57">
            <v>34766.78</v>
          </cell>
          <cell r="N57">
            <v>26947.743999999999</v>
          </cell>
          <cell r="O57">
            <v>31729.22</v>
          </cell>
          <cell r="P57">
            <v>4003</v>
          </cell>
          <cell r="Q57">
            <v>4264</v>
          </cell>
        </row>
        <row r="58">
          <cell r="D58" t="str">
            <v xml:space="preserve">Puntland  </v>
          </cell>
          <cell r="E58" t="str">
            <v>Nugaal</v>
          </cell>
          <cell r="F58" t="str">
            <v>Burtinle</v>
          </cell>
          <cell r="G58" t="str">
            <v>SO1702</v>
          </cell>
          <cell r="J58">
            <v>14463</v>
          </cell>
          <cell r="K58">
            <v>12647</v>
          </cell>
          <cell r="L58">
            <v>28550.378000000001</v>
          </cell>
          <cell r="M58">
            <v>26870.932000000001</v>
          </cell>
          <cell r="N58">
            <v>20826.621999999999</v>
          </cell>
          <cell r="O58">
            <v>24524.067999999999</v>
          </cell>
          <cell r="P58">
            <v>3095</v>
          </cell>
          <cell r="Q58">
            <v>3297</v>
          </cell>
        </row>
        <row r="59">
          <cell r="D59" t="str">
            <v xml:space="preserve">Puntland  </v>
          </cell>
          <cell r="E59" t="str">
            <v>Nugaal</v>
          </cell>
          <cell r="F59" t="str">
            <v>Eyl</v>
          </cell>
          <cell r="G59" t="str">
            <v>SO1703</v>
          </cell>
          <cell r="J59">
            <v>18881</v>
          </cell>
          <cell r="K59">
            <v>16510</v>
          </cell>
          <cell r="L59">
            <v>37270.148000000001</v>
          </cell>
          <cell r="M59">
            <v>35079.267999999996</v>
          </cell>
          <cell r="N59">
            <v>27189.851999999999</v>
          </cell>
          <cell r="O59">
            <v>32013.732</v>
          </cell>
          <cell r="P59">
            <v>4040</v>
          </cell>
          <cell r="Q59">
            <v>4303</v>
          </cell>
        </row>
        <row r="60">
          <cell r="D60" t="str">
            <v xml:space="preserve">Puntland  </v>
          </cell>
          <cell r="E60" t="str">
            <v>Nugaal</v>
          </cell>
          <cell r="F60" t="str">
            <v>Garoowe</v>
          </cell>
          <cell r="G60" t="str">
            <v>SO1701</v>
          </cell>
          <cell r="J60">
            <v>36828</v>
          </cell>
          <cell r="K60">
            <v>32203</v>
          </cell>
          <cell r="L60">
            <v>72697.206000000006</v>
          </cell>
          <cell r="M60">
            <v>68423.782000000007</v>
          </cell>
          <cell r="N60">
            <v>53031.794000000002</v>
          </cell>
          <cell r="O60">
            <v>62445.218000000001</v>
          </cell>
          <cell r="P60">
            <v>7880</v>
          </cell>
          <cell r="Q60">
            <v>8394</v>
          </cell>
        </row>
        <row r="61">
          <cell r="D61" t="str">
            <v xml:space="preserve">Somaliland  </v>
          </cell>
          <cell r="E61" t="str">
            <v>Awdal</v>
          </cell>
          <cell r="F61" t="str">
            <v>Baki</v>
          </cell>
          <cell r="G61" t="str">
            <v>SO1102</v>
          </cell>
          <cell r="J61">
            <v>6927</v>
          </cell>
          <cell r="K61">
            <v>6412</v>
          </cell>
          <cell r="L61">
            <v>14404.89</v>
          </cell>
          <cell r="M61">
            <v>13543.132</v>
          </cell>
          <cell r="N61">
            <v>10971.11</v>
          </cell>
          <cell r="O61">
            <v>12586.868</v>
          </cell>
          <cell r="P61">
            <v>1613</v>
          </cell>
          <cell r="Q61">
            <v>1714</v>
          </cell>
        </row>
        <row r="62">
          <cell r="D62" t="str">
            <v xml:space="preserve">Somaliland  </v>
          </cell>
          <cell r="E62" t="str">
            <v>Awdal</v>
          </cell>
          <cell r="F62" t="str">
            <v>Borama</v>
          </cell>
          <cell r="G62" t="str">
            <v>SO1101</v>
          </cell>
          <cell r="J62">
            <v>45218</v>
          </cell>
          <cell r="K62">
            <v>41860</v>
          </cell>
          <cell r="L62">
            <v>94035.991999999998</v>
          </cell>
          <cell r="M62">
            <v>88405.6</v>
          </cell>
          <cell r="N62">
            <v>71612.008000000002</v>
          </cell>
          <cell r="O62">
            <v>82169.399999999994</v>
          </cell>
          <cell r="P62">
            <v>10522</v>
          </cell>
          <cell r="Q62">
            <v>11193</v>
          </cell>
        </row>
        <row r="63">
          <cell r="D63" t="str">
            <v xml:space="preserve">Somaliland  </v>
          </cell>
          <cell r="E63" t="str">
            <v>Awdal</v>
          </cell>
          <cell r="F63" t="str">
            <v>Lughaye</v>
          </cell>
          <cell r="G63" t="str">
            <v>SO1103</v>
          </cell>
          <cell r="J63">
            <v>7537</v>
          </cell>
          <cell r="K63">
            <v>6977</v>
          </cell>
          <cell r="L63">
            <v>15673.369999999999</v>
          </cell>
          <cell r="M63">
            <v>14735.137999999999</v>
          </cell>
          <cell r="N63">
            <v>11937.630000000001</v>
          </cell>
          <cell r="O63">
            <v>13696.862000000001</v>
          </cell>
          <cell r="P63">
            <v>1754</v>
          </cell>
          <cell r="Q63">
            <v>1866</v>
          </cell>
        </row>
        <row r="64">
          <cell r="D64" t="str">
            <v xml:space="preserve">Somaliland  </v>
          </cell>
          <cell r="E64" t="str">
            <v>Awdal</v>
          </cell>
          <cell r="F64" t="str">
            <v>Zeylac</v>
          </cell>
          <cell r="G64" t="str">
            <v>SO1104</v>
          </cell>
          <cell r="J64">
            <v>6963</v>
          </cell>
          <cell r="K64">
            <v>6446</v>
          </cell>
          <cell r="L64">
            <v>14480.556</v>
          </cell>
          <cell r="M64">
            <v>13613.797999999999</v>
          </cell>
          <cell r="N64">
            <v>11028.444</v>
          </cell>
          <cell r="O64">
            <v>12653.202000000001</v>
          </cell>
          <cell r="P64">
            <v>1620</v>
          </cell>
          <cell r="Q64">
            <v>1724</v>
          </cell>
        </row>
        <row r="65">
          <cell r="D65" t="str">
            <v xml:space="preserve">Somaliland  </v>
          </cell>
          <cell r="E65" t="str">
            <v>Sanaag</v>
          </cell>
          <cell r="F65" t="str">
            <v>Ceel Afweyn</v>
          </cell>
          <cell r="G65" t="str">
            <v>SO1502</v>
          </cell>
          <cell r="J65">
            <v>9740</v>
          </cell>
          <cell r="K65">
            <v>9016</v>
          </cell>
          <cell r="L65">
            <v>20255.153999999999</v>
          </cell>
          <cell r="M65">
            <v>19041.184000000001</v>
          </cell>
          <cell r="N65">
            <v>15424.846</v>
          </cell>
          <cell r="O65">
            <v>17697.815999999999</v>
          </cell>
          <cell r="P65">
            <v>2266</v>
          </cell>
          <cell r="Q65">
            <v>2412</v>
          </cell>
        </row>
        <row r="66">
          <cell r="D66" t="str">
            <v xml:space="preserve">Somaliland  </v>
          </cell>
          <cell r="E66" t="str">
            <v>Sanaag</v>
          </cell>
          <cell r="F66" t="str">
            <v>Ceerigaabo</v>
          </cell>
          <cell r="G66" t="str">
            <v>SO1501</v>
          </cell>
          <cell r="J66">
            <v>18581</v>
          </cell>
          <cell r="K66">
            <v>17202</v>
          </cell>
          <cell r="L66">
            <v>38643.114000000001</v>
          </cell>
          <cell r="M66">
            <v>36328.578000000001</v>
          </cell>
          <cell r="N66">
            <v>29428.885999999999</v>
          </cell>
          <cell r="O66">
            <v>33766.421999999999</v>
          </cell>
          <cell r="P66">
            <v>4324</v>
          </cell>
          <cell r="Q66">
            <v>4600</v>
          </cell>
        </row>
        <row r="67">
          <cell r="D67" t="str">
            <v xml:space="preserve">Somaliland  </v>
          </cell>
          <cell r="E67" t="str">
            <v>Sanaag</v>
          </cell>
          <cell r="F67" t="str">
            <v>Laasqoray</v>
          </cell>
          <cell r="G67" t="str">
            <v>SO1503</v>
          </cell>
          <cell r="J67">
            <v>16594</v>
          </cell>
          <cell r="K67">
            <v>15362</v>
          </cell>
          <cell r="L67">
            <v>34508.712</v>
          </cell>
          <cell r="M67">
            <v>32441.756000000001</v>
          </cell>
          <cell r="N67">
            <v>26280.288</v>
          </cell>
          <cell r="O67">
            <v>30153.243999999999</v>
          </cell>
          <cell r="P67">
            <v>3860</v>
          </cell>
          <cell r="Q67">
            <v>4107</v>
          </cell>
        </row>
        <row r="68">
          <cell r="D68" t="str">
            <v xml:space="preserve">Somaliland  </v>
          </cell>
          <cell r="E68" t="str">
            <v>Sool</v>
          </cell>
          <cell r="F68" t="str">
            <v>Caynabo</v>
          </cell>
          <cell r="G68" t="str">
            <v>SO1402</v>
          </cell>
          <cell r="J68">
            <v>10077</v>
          </cell>
          <cell r="K68">
            <v>9329</v>
          </cell>
          <cell r="L68">
            <v>20956.831999999999</v>
          </cell>
          <cell r="M68">
            <v>19701.932000000001</v>
          </cell>
          <cell r="N68">
            <v>15960.168</v>
          </cell>
          <cell r="O68">
            <v>18311.067999999999</v>
          </cell>
          <cell r="P68">
            <v>2345</v>
          </cell>
          <cell r="Q68">
            <v>2495</v>
          </cell>
        </row>
        <row r="69">
          <cell r="D69" t="str">
            <v xml:space="preserve">Somaliland  </v>
          </cell>
          <cell r="E69" t="str">
            <v>Sool</v>
          </cell>
          <cell r="F69" t="str">
            <v>Laas Caanood</v>
          </cell>
          <cell r="G69" t="str">
            <v>SO1401</v>
          </cell>
          <cell r="J69">
            <v>27672</v>
          </cell>
          <cell r="K69">
            <v>25617</v>
          </cell>
          <cell r="L69">
            <v>57546.894</v>
          </cell>
          <cell r="M69">
            <v>54100.248</v>
          </cell>
          <cell r="N69">
            <v>43827.106</v>
          </cell>
          <cell r="O69">
            <v>50285.752</v>
          </cell>
          <cell r="P69">
            <v>6439</v>
          </cell>
          <cell r="Q69">
            <v>6850</v>
          </cell>
        </row>
        <row r="70">
          <cell r="D70" t="str">
            <v xml:space="preserve">Somaliland  </v>
          </cell>
          <cell r="E70" t="str">
            <v>Sool</v>
          </cell>
          <cell r="F70" t="str">
            <v>Taleex</v>
          </cell>
          <cell r="G70" t="str">
            <v>SO1403</v>
          </cell>
          <cell r="J70">
            <v>9725</v>
          </cell>
          <cell r="K70">
            <v>9003</v>
          </cell>
          <cell r="L70">
            <v>20224.241999999998</v>
          </cell>
          <cell r="M70">
            <v>19014.272000000001</v>
          </cell>
          <cell r="N70">
            <v>15401.758</v>
          </cell>
          <cell r="O70">
            <v>17671.727999999999</v>
          </cell>
          <cell r="P70">
            <v>2262</v>
          </cell>
          <cell r="Q70">
            <v>2407</v>
          </cell>
        </row>
        <row r="71">
          <cell r="D71" t="str">
            <v xml:space="preserve">Somaliland  </v>
          </cell>
          <cell r="E71" t="str">
            <v>Sool</v>
          </cell>
          <cell r="F71" t="str">
            <v>Xudun</v>
          </cell>
          <cell r="G71" t="str">
            <v>SO1404</v>
          </cell>
          <cell r="J71">
            <v>10042</v>
          </cell>
          <cell r="K71">
            <v>9296</v>
          </cell>
          <cell r="L71">
            <v>20883.78</v>
          </cell>
          <cell r="M71">
            <v>19633.266</v>
          </cell>
          <cell r="N71">
            <v>15904.220000000001</v>
          </cell>
          <cell r="O71">
            <v>18248.734</v>
          </cell>
          <cell r="P71">
            <v>2336</v>
          </cell>
          <cell r="Q71">
            <v>2486</v>
          </cell>
        </row>
        <row r="72">
          <cell r="D72" t="str">
            <v xml:space="preserve">Somaliland  </v>
          </cell>
          <cell r="E72" t="str">
            <v>Togdheer</v>
          </cell>
          <cell r="F72" t="str">
            <v>Burco</v>
          </cell>
          <cell r="G72" t="str">
            <v>SO1301</v>
          </cell>
          <cell r="J72">
            <v>54523</v>
          </cell>
          <cell r="K72">
            <v>50475</v>
          </cell>
          <cell r="L72">
            <v>113388.15399999999</v>
          </cell>
          <cell r="M72">
            <v>106597.49400000001</v>
          </cell>
          <cell r="N72">
            <v>86349.846000000005</v>
          </cell>
          <cell r="O72">
            <v>99079.505999999994</v>
          </cell>
          <cell r="P72">
            <v>12686</v>
          </cell>
          <cell r="Q72">
            <v>13496</v>
          </cell>
        </row>
        <row r="73">
          <cell r="D73" t="str">
            <v xml:space="preserve">Somaliland  </v>
          </cell>
          <cell r="E73" t="str">
            <v>Togdheer</v>
          </cell>
          <cell r="F73" t="str">
            <v>Buuhoodle</v>
          </cell>
          <cell r="G73" t="str">
            <v>SO1302</v>
          </cell>
          <cell r="J73">
            <v>10203</v>
          </cell>
          <cell r="K73">
            <v>9446</v>
          </cell>
          <cell r="L73">
            <v>21219.356</v>
          </cell>
          <cell r="M73">
            <v>19948.684000000001</v>
          </cell>
          <cell r="N73">
            <v>16159.644</v>
          </cell>
          <cell r="O73">
            <v>18541.315999999999</v>
          </cell>
          <cell r="P73">
            <v>2375</v>
          </cell>
          <cell r="Q73">
            <v>2526</v>
          </cell>
        </row>
        <row r="74">
          <cell r="D74" t="str">
            <v xml:space="preserve">Somaliland  </v>
          </cell>
          <cell r="E74" t="str">
            <v>Togdheer</v>
          </cell>
          <cell r="F74" t="str">
            <v>Owdweyne</v>
          </cell>
          <cell r="G74" t="str">
            <v>SO1303</v>
          </cell>
          <cell r="J74">
            <v>10264</v>
          </cell>
          <cell r="K74">
            <v>9502</v>
          </cell>
          <cell r="L74">
            <v>21345.004000000001</v>
          </cell>
          <cell r="M74">
            <v>20066.331999999999</v>
          </cell>
          <cell r="N74">
            <v>16255.995999999999</v>
          </cell>
          <cell r="O74">
            <v>18650.667999999998</v>
          </cell>
          <cell r="P74">
            <v>2387</v>
          </cell>
          <cell r="Q74">
            <v>2541</v>
          </cell>
        </row>
        <row r="75">
          <cell r="D75" t="str">
            <v xml:space="preserve">Somaliland  </v>
          </cell>
          <cell r="E75" t="str">
            <v>Togdheer</v>
          </cell>
          <cell r="F75" t="str">
            <v>Sheikh</v>
          </cell>
          <cell r="G75" t="str">
            <v>SO1304</v>
          </cell>
          <cell r="J75">
            <v>15183</v>
          </cell>
          <cell r="K75">
            <v>14056</v>
          </cell>
          <cell r="L75">
            <v>31574.738000000001</v>
          </cell>
          <cell r="M75">
            <v>29684.502</v>
          </cell>
          <cell r="N75">
            <v>24046.261999999999</v>
          </cell>
          <cell r="O75">
            <v>27589.498</v>
          </cell>
          <cell r="P75">
            <v>3532</v>
          </cell>
          <cell r="Q75">
            <v>3758</v>
          </cell>
        </row>
        <row r="76">
          <cell r="D76" t="str">
            <v xml:space="preserve">Somaliland  </v>
          </cell>
          <cell r="E76" t="str">
            <v>Woqooyi Galbeed</v>
          </cell>
          <cell r="F76" t="str">
            <v>Berbera</v>
          </cell>
          <cell r="G76" t="str">
            <v>SO1202</v>
          </cell>
          <cell r="J76">
            <v>19900</v>
          </cell>
          <cell r="K76">
            <v>18422</v>
          </cell>
          <cell r="L76">
            <v>41385.002</v>
          </cell>
          <cell r="M76">
            <v>38906.131999999998</v>
          </cell>
          <cell r="N76">
            <v>31516.998</v>
          </cell>
          <cell r="O76">
            <v>36163.868000000002</v>
          </cell>
          <cell r="P76">
            <v>4631</v>
          </cell>
          <cell r="Q76">
            <v>4926</v>
          </cell>
        </row>
        <row r="77">
          <cell r="D77" t="str">
            <v xml:space="preserve">Somaliland  </v>
          </cell>
          <cell r="E77" t="str">
            <v>Woqooyi Galbeed</v>
          </cell>
          <cell r="F77" t="str">
            <v>Gebiley</v>
          </cell>
          <cell r="G77" t="str">
            <v>SO1203</v>
          </cell>
          <cell r="J77">
            <v>22215</v>
          </cell>
          <cell r="K77">
            <v>20565</v>
          </cell>
          <cell r="L77">
            <v>46198.398000000001</v>
          </cell>
          <cell r="M77">
            <v>43432.017999999996</v>
          </cell>
          <cell r="N77">
            <v>35183.601999999999</v>
          </cell>
          <cell r="O77">
            <v>40368.982000000004</v>
          </cell>
          <cell r="P77">
            <v>5170</v>
          </cell>
          <cell r="Q77">
            <v>5500</v>
          </cell>
        </row>
        <row r="78">
          <cell r="D78" t="str">
            <v xml:space="preserve">Somaliland  </v>
          </cell>
          <cell r="E78" t="str">
            <v>Woqooyi Galbeed</v>
          </cell>
          <cell r="F78" t="str">
            <v>Hargeysa</v>
          </cell>
          <cell r="G78" t="str">
            <v>SO1201</v>
          </cell>
          <cell r="J78">
            <v>109537</v>
          </cell>
          <cell r="K78">
            <v>101403</v>
          </cell>
          <cell r="L78">
            <v>227796.72</v>
          </cell>
          <cell r="M78">
            <v>214153.698</v>
          </cell>
          <cell r="N78">
            <v>173480.28</v>
          </cell>
          <cell r="O78">
            <v>199051.302</v>
          </cell>
          <cell r="P78">
            <v>25487</v>
          </cell>
          <cell r="Q78">
            <v>27113</v>
          </cell>
        </row>
        <row r="79">
          <cell r="D79" t="str">
            <v xml:space="preserve">Southwest  </v>
          </cell>
          <cell r="E79" t="str">
            <v>Bakool</v>
          </cell>
          <cell r="F79" t="str">
            <v>Ceel Barde</v>
          </cell>
          <cell r="G79" t="str">
            <v>SO2502</v>
          </cell>
          <cell r="J79">
            <v>8834</v>
          </cell>
          <cell r="K79">
            <v>8178</v>
          </cell>
          <cell r="L79">
            <v>18371.504000000001</v>
          </cell>
          <cell r="M79">
            <v>17270.938000000002</v>
          </cell>
          <cell r="N79">
            <v>13990.495999999999</v>
          </cell>
          <cell r="O79">
            <v>16052.062</v>
          </cell>
          <cell r="P79">
            <v>2055</v>
          </cell>
          <cell r="Q79">
            <v>2187</v>
          </cell>
        </row>
        <row r="80">
          <cell r="D80" t="str">
            <v xml:space="preserve">Southwest  </v>
          </cell>
          <cell r="E80" t="str">
            <v>Bakool</v>
          </cell>
          <cell r="F80" t="str">
            <v>Rab Dhuure</v>
          </cell>
          <cell r="G80" t="str">
            <v>SO2505</v>
          </cell>
          <cell r="J80">
            <v>9366</v>
          </cell>
          <cell r="K80">
            <v>8671</v>
          </cell>
          <cell r="L80">
            <v>19477.810000000001</v>
          </cell>
          <cell r="M80">
            <v>18311.155999999999</v>
          </cell>
          <cell r="N80">
            <v>14834.19</v>
          </cell>
          <cell r="O80">
            <v>17018.844000000001</v>
          </cell>
          <cell r="P80">
            <v>2179</v>
          </cell>
          <cell r="Q80">
            <v>2318</v>
          </cell>
        </row>
        <row r="81">
          <cell r="D81" t="str">
            <v xml:space="preserve">Southwest  </v>
          </cell>
          <cell r="E81" t="str">
            <v>Bakool</v>
          </cell>
          <cell r="F81" t="str">
            <v>Tayeeglow</v>
          </cell>
          <cell r="G81" t="str">
            <v>SO2503</v>
          </cell>
          <cell r="J81">
            <v>17301</v>
          </cell>
          <cell r="K81">
            <v>16016</v>
          </cell>
          <cell r="L81">
            <v>35979.506000000001</v>
          </cell>
          <cell r="M81">
            <v>33824.304000000004</v>
          </cell>
          <cell r="N81">
            <v>27399.493999999999</v>
          </cell>
          <cell r="O81">
            <v>31438.696</v>
          </cell>
          <cell r="P81">
            <v>4025</v>
          </cell>
          <cell r="Q81">
            <v>4283</v>
          </cell>
        </row>
        <row r="82">
          <cell r="D82" t="str">
            <v xml:space="preserve">Southwest  </v>
          </cell>
          <cell r="E82" t="str">
            <v>Bakool</v>
          </cell>
          <cell r="F82" t="str">
            <v>Waajid</v>
          </cell>
          <cell r="G82" t="str">
            <v>SO2504</v>
          </cell>
          <cell r="J82">
            <v>9386</v>
          </cell>
          <cell r="K82">
            <v>8689</v>
          </cell>
          <cell r="L82">
            <v>19517.95</v>
          </cell>
          <cell r="M82">
            <v>18350.91</v>
          </cell>
          <cell r="N82">
            <v>14864.05</v>
          </cell>
          <cell r="O82">
            <v>17056.09</v>
          </cell>
          <cell r="P82">
            <v>2184</v>
          </cell>
          <cell r="Q82">
            <v>2323</v>
          </cell>
        </row>
        <row r="83">
          <cell r="D83" t="str">
            <v xml:space="preserve">Southwest  </v>
          </cell>
          <cell r="E83" t="str">
            <v>Bakool</v>
          </cell>
          <cell r="F83" t="str">
            <v>Xudur</v>
          </cell>
          <cell r="G83" t="str">
            <v>SO2501</v>
          </cell>
          <cell r="J83">
            <v>12042</v>
          </cell>
          <cell r="K83">
            <v>11148</v>
          </cell>
          <cell r="L83">
            <v>25042.866000000002</v>
          </cell>
          <cell r="M83">
            <v>23543.772000000001</v>
          </cell>
          <cell r="N83">
            <v>19072.133999999998</v>
          </cell>
          <cell r="O83">
            <v>21882.227999999999</v>
          </cell>
          <cell r="P83">
            <v>2803</v>
          </cell>
          <cell r="Q83">
            <v>2980</v>
          </cell>
        </row>
        <row r="84">
          <cell r="D84" t="str">
            <v xml:space="preserve">Southwest  </v>
          </cell>
          <cell r="E84" t="str">
            <v>Bay</v>
          </cell>
          <cell r="F84" t="str">
            <v>Baydhaba</v>
          </cell>
          <cell r="G84" t="str">
            <v>SO2401</v>
          </cell>
          <cell r="J84">
            <v>76865</v>
          </cell>
          <cell r="K84">
            <v>71157</v>
          </cell>
          <cell r="L84">
            <v>159850.69</v>
          </cell>
          <cell r="M84">
            <v>150277.878</v>
          </cell>
          <cell r="N84">
            <v>121735.31</v>
          </cell>
          <cell r="O84">
            <v>139680.122</v>
          </cell>
          <cell r="P84">
            <v>17885</v>
          </cell>
          <cell r="Q84">
            <v>19026</v>
          </cell>
        </row>
        <row r="85">
          <cell r="D85" t="str">
            <v xml:space="preserve">Southwest  </v>
          </cell>
          <cell r="E85" t="str">
            <v>Bay</v>
          </cell>
          <cell r="F85" t="str">
            <v>Buur Hakaba</v>
          </cell>
          <cell r="G85" t="str">
            <v>SO2402</v>
          </cell>
          <cell r="J85">
            <v>21398</v>
          </cell>
          <cell r="K85">
            <v>19809</v>
          </cell>
          <cell r="L85">
            <v>44498.991999999998</v>
          </cell>
          <cell r="M85">
            <v>41833.243999999999</v>
          </cell>
          <cell r="N85">
            <v>33889.008000000002</v>
          </cell>
          <cell r="O85">
            <v>38882.756000000001</v>
          </cell>
          <cell r="P85">
            <v>4979</v>
          </cell>
          <cell r="Q85">
            <v>5297</v>
          </cell>
        </row>
        <row r="86">
          <cell r="D86" t="str">
            <v xml:space="preserve">Southwest  </v>
          </cell>
          <cell r="E86" t="str">
            <v>Bay</v>
          </cell>
          <cell r="F86" t="str">
            <v>Diinsoor</v>
          </cell>
          <cell r="G86" t="str">
            <v>SO2403</v>
          </cell>
          <cell r="J86">
            <v>18206</v>
          </cell>
          <cell r="K86">
            <v>16855</v>
          </cell>
          <cell r="L86">
            <v>37863.156000000003</v>
          </cell>
          <cell r="M86">
            <v>35594.936000000002</v>
          </cell>
          <cell r="N86">
            <v>28833.844000000001</v>
          </cell>
          <cell r="O86">
            <v>33085.063999999998</v>
          </cell>
          <cell r="P86">
            <v>4235</v>
          </cell>
          <cell r="Q86">
            <v>4507</v>
          </cell>
        </row>
        <row r="87">
          <cell r="D87" t="str">
            <v xml:space="preserve">Southwest  </v>
          </cell>
          <cell r="E87" t="str">
            <v>Bay</v>
          </cell>
          <cell r="F87" t="str">
            <v>Qansax Dheere</v>
          </cell>
          <cell r="G87" t="str">
            <v>SO2404</v>
          </cell>
          <cell r="J87">
            <v>14281</v>
          </cell>
          <cell r="K87">
            <v>13220</v>
          </cell>
          <cell r="L87">
            <v>29698.315999999999</v>
          </cell>
          <cell r="M87">
            <v>27920.484</v>
          </cell>
          <cell r="N87">
            <v>22616.684000000001</v>
          </cell>
          <cell r="O87">
            <v>25950.516</v>
          </cell>
          <cell r="P87">
            <v>3322</v>
          </cell>
          <cell r="Q87">
            <v>3534</v>
          </cell>
        </row>
        <row r="88">
          <cell r="D88" t="str">
            <v xml:space="preserve">Southwest  </v>
          </cell>
          <cell r="E88" t="str">
            <v>Lower Shabelle</v>
          </cell>
          <cell r="F88" t="str">
            <v>Afgooye</v>
          </cell>
          <cell r="G88" t="str">
            <v>SO2302</v>
          </cell>
          <cell r="J88">
            <v>58474</v>
          </cell>
          <cell r="K88">
            <v>54132</v>
          </cell>
          <cell r="L88">
            <v>121602.976</v>
          </cell>
          <cell r="M88">
            <v>114320.542</v>
          </cell>
          <cell r="N88">
            <v>92608.024000000005</v>
          </cell>
          <cell r="O88">
            <v>106259.458</v>
          </cell>
          <cell r="P88">
            <v>13605</v>
          </cell>
          <cell r="Q88">
            <v>14474</v>
          </cell>
        </row>
        <row r="89">
          <cell r="D89" t="str">
            <v xml:space="preserve">Southwest  </v>
          </cell>
          <cell r="E89" t="str">
            <v>Lower Shabelle</v>
          </cell>
          <cell r="F89" t="str">
            <v>Baraawe</v>
          </cell>
          <cell r="G89" t="str">
            <v>SO2303</v>
          </cell>
          <cell r="J89">
            <v>6783</v>
          </cell>
          <cell r="K89">
            <v>6279</v>
          </cell>
          <cell r="L89">
            <v>14105.226000000001</v>
          </cell>
          <cell r="M89">
            <v>13261.24</v>
          </cell>
          <cell r="N89">
            <v>10741.773999999999</v>
          </cell>
          <cell r="O89">
            <v>12324.76</v>
          </cell>
          <cell r="P89">
            <v>1578</v>
          </cell>
          <cell r="Q89">
            <v>1679</v>
          </cell>
        </row>
        <row r="90">
          <cell r="D90" t="str">
            <v xml:space="preserve">Southwest  </v>
          </cell>
          <cell r="E90" t="str">
            <v>Lower Shabelle</v>
          </cell>
          <cell r="F90" t="str">
            <v>Kurtunwaarey</v>
          </cell>
          <cell r="G90" t="str">
            <v>SO2304</v>
          </cell>
          <cell r="J90">
            <v>7983</v>
          </cell>
          <cell r="K90">
            <v>7390</v>
          </cell>
          <cell r="L90">
            <v>16601.045999999998</v>
          </cell>
          <cell r="M90">
            <v>15607.112000000001</v>
          </cell>
          <cell r="N90">
            <v>12642.954</v>
          </cell>
          <cell r="O90">
            <v>14506.887999999999</v>
          </cell>
          <cell r="P90">
            <v>1858</v>
          </cell>
          <cell r="Q90">
            <v>1976</v>
          </cell>
        </row>
        <row r="91">
          <cell r="D91" t="str">
            <v xml:space="preserve">Southwest  </v>
          </cell>
          <cell r="E91" t="str">
            <v>Lower Shabelle</v>
          </cell>
          <cell r="F91" t="str">
            <v>Marka</v>
          </cell>
          <cell r="G91" t="str">
            <v>SO2301</v>
          </cell>
          <cell r="J91">
            <v>30595</v>
          </cell>
          <cell r="K91">
            <v>28323</v>
          </cell>
          <cell r="L91">
            <v>63626.770000000004</v>
          </cell>
          <cell r="M91">
            <v>59815.525999999998</v>
          </cell>
          <cell r="N91">
            <v>48455.229999999996</v>
          </cell>
          <cell r="O91">
            <v>55598.474000000002</v>
          </cell>
          <cell r="P91">
            <v>7119</v>
          </cell>
          <cell r="Q91">
            <v>7573</v>
          </cell>
        </row>
        <row r="92">
          <cell r="D92" t="str">
            <v xml:space="preserve">Southwest  </v>
          </cell>
          <cell r="E92" t="str">
            <v>Lower Shabelle</v>
          </cell>
          <cell r="F92" t="str">
            <v>Qoryooley</v>
          </cell>
          <cell r="G92" t="str">
            <v>SO2305</v>
          </cell>
          <cell r="J92">
            <v>15670</v>
          </cell>
          <cell r="K92">
            <v>14506</v>
          </cell>
          <cell r="L92">
            <v>32586.921999999999</v>
          </cell>
          <cell r="M92">
            <v>30635.37</v>
          </cell>
          <cell r="N92">
            <v>24816.078000000001</v>
          </cell>
          <cell r="O92">
            <v>28475.63</v>
          </cell>
          <cell r="P92">
            <v>3646</v>
          </cell>
          <cell r="Q92">
            <v>3879</v>
          </cell>
        </row>
        <row r="93">
          <cell r="D93" t="str">
            <v xml:space="preserve">Southwest  </v>
          </cell>
          <cell r="E93" t="str">
            <v>Lower Shabelle</v>
          </cell>
          <cell r="F93" t="str">
            <v>Sablaale</v>
          </cell>
          <cell r="G93" t="str">
            <v>SO2306</v>
          </cell>
          <cell r="J93">
            <v>7838</v>
          </cell>
          <cell r="K93">
            <v>7256</v>
          </cell>
          <cell r="L93">
            <v>16299.382</v>
          </cell>
          <cell r="M93">
            <v>15322.606</v>
          </cell>
          <cell r="N93">
            <v>12412.618</v>
          </cell>
          <cell r="O93">
            <v>14242.394</v>
          </cell>
          <cell r="P93">
            <v>1823</v>
          </cell>
          <cell r="Q93">
            <v>1941</v>
          </cell>
        </row>
        <row r="94">
          <cell r="D94" t="str">
            <v xml:space="preserve">Southwest  </v>
          </cell>
          <cell r="E94" t="str">
            <v>Lower Shabelle</v>
          </cell>
          <cell r="F94" t="str">
            <v>Wanla Weyn</v>
          </cell>
          <cell r="G94" t="str">
            <v>SO2307</v>
          </cell>
          <cell r="J94">
            <v>39568</v>
          </cell>
          <cell r="K94">
            <v>36630</v>
          </cell>
          <cell r="L94">
            <v>82288.096000000005</v>
          </cell>
          <cell r="M94">
            <v>77359.513999999996</v>
          </cell>
          <cell r="N94">
            <v>62666.904000000002</v>
          </cell>
          <cell r="O94">
            <v>71903.486000000004</v>
          </cell>
          <cell r="P94">
            <v>9207</v>
          </cell>
          <cell r="Q94">
            <v>9795</v>
          </cell>
        </row>
      </sheetData>
      <sheetData sheetId="7">
        <row r="4">
          <cell r="C4" t="str">
            <v>Banadir</v>
          </cell>
          <cell r="F4">
            <v>6452</v>
          </cell>
          <cell r="G4">
            <v>5972</v>
          </cell>
          <cell r="I4">
            <v>14431</v>
          </cell>
          <cell r="J4">
            <v>14066</v>
          </cell>
          <cell r="L4">
            <v>11516</v>
          </cell>
          <cell r="M4">
            <v>12772</v>
          </cell>
          <cell r="O4">
            <v>1613</v>
          </cell>
          <cell r="P4">
            <v>1613</v>
          </cell>
        </row>
        <row r="5">
          <cell r="C5" t="str">
            <v>Banadir</v>
          </cell>
          <cell r="F5">
            <v>1512</v>
          </cell>
          <cell r="G5">
            <v>1400</v>
          </cell>
          <cell r="I5">
            <v>3382</v>
          </cell>
          <cell r="J5">
            <v>3297</v>
          </cell>
          <cell r="L5">
            <v>2699</v>
          </cell>
          <cell r="M5">
            <v>2994</v>
          </cell>
          <cell r="O5">
            <v>377</v>
          </cell>
          <cell r="P5">
            <v>378</v>
          </cell>
        </row>
        <row r="6">
          <cell r="C6" t="str">
            <v>Banadir</v>
          </cell>
          <cell r="F6">
            <v>68635</v>
          </cell>
          <cell r="G6">
            <v>63524</v>
          </cell>
          <cell r="I6">
            <v>153499</v>
          </cell>
          <cell r="J6">
            <v>149623</v>
          </cell>
          <cell r="L6">
            <v>122500</v>
          </cell>
          <cell r="M6">
            <v>135869</v>
          </cell>
          <cell r="O6">
            <v>17159</v>
          </cell>
          <cell r="P6">
            <v>17158</v>
          </cell>
        </row>
        <row r="7">
          <cell r="C7" t="str">
            <v>Banadir</v>
          </cell>
          <cell r="F7">
            <v>10480</v>
          </cell>
          <cell r="G7">
            <v>9700</v>
          </cell>
          <cell r="I7">
            <v>23438</v>
          </cell>
          <cell r="J7">
            <v>22847</v>
          </cell>
          <cell r="L7">
            <v>18704</v>
          </cell>
          <cell r="M7">
            <v>20745</v>
          </cell>
          <cell r="O7">
            <v>2619</v>
          </cell>
          <cell r="P7">
            <v>2620</v>
          </cell>
        </row>
        <row r="8">
          <cell r="C8" t="str">
            <v>Banadir</v>
          </cell>
          <cell r="F8">
            <v>4540</v>
          </cell>
          <cell r="G8">
            <v>4202</v>
          </cell>
          <cell r="I8">
            <v>10153</v>
          </cell>
          <cell r="J8">
            <v>9897</v>
          </cell>
          <cell r="L8">
            <v>8102</v>
          </cell>
          <cell r="M8">
            <v>8985</v>
          </cell>
          <cell r="O8">
            <v>1134</v>
          </cell>
          <cell r="P8">
            <v>1135</v>
          </cell>
        </row>
        <row r="9">
          <cell r="C9" t="str">
            <v>Banadir</v>
          </cell>
          <cell r="F9">
            <v>6809</v>
          </cell>
          <cell r="G9">
            <v>6302</v>
          </cell>
          <cell r="I9">
            <v>15228</v>
          </cell>
          <cell r="J9">
            <v>14844</v>
          </cell>
          <cell r="L9">
            <v>12155</v>
          </cell>
          <cell r="M9">
            <v>13479</v>
          </cell>
          <cell r="O9">
            <v>1703</v>
          </cell>
          <cell r="P9">
            <v>1703</v>
          </cell>
        </row>
        <row r="10">
          <cell r="C10" t="str">
            <v>Banadir</v>
          </cell>
          <cell r="F10">
            <v>11118</v>
          </cell>
          <cell r="G10">
            <v>10290</v>
          </cell>
          <cell r="I10">
            <v>24864</v>
          </cell>
          <cell r="J10">
            <v>24237</v>
          </cell>
          <cell r="L10">
            <v>19844</v>
          </cell>
          <cell r="M10">
            <v>22010</v>
          </cell>
          <cell r="O10">
            <v>2779</v>
          </cell>
          <cell r="P10">
            <v>2779</v>
          </cell>
        </row>
        <row r="11">
          <cell r="C11" t="str">
            <v>Banadir</v>
          </cell>
          <cell r="F11">
            <v>34495</v>
          </cell>
          <cell r="G11">
            <v>31926</v>
          </cell>
          <cell r="I11">
            <v>77147</v>
          </cell>
          <cell r="J11">
            <v>75199</v>
          </cell>
          <cell r="L11">
            <v>61569</v>
          </cell>
          <cell r="M11">
            <v>68285</v>
          </cell>
          <cell r="O11">
            <v>8623</v>
          </cell>
          <cell r="P11">
            <v>8623</v>
          </cell>
        </row>
        <row r="12">
          <cell r="C12" t="str">
            <v>Banadir</v>
          </cell>
          <cell r="F12">
            <v>10375</v>
          </cell>
          <cell r="G12">
            <v>9602</v>
          </cell>
          <cell r="I12">
            <v>23202</v>
          </cell>
          <cell r="J12">
            <v>22617</v>
          </cell>
          <cell r="L12">
            <v>18519</v>
          </cell>
          <cell r="M12">
            <v>20537</v>
          </cell>
          <cell r="O12">
            <v>2594</v>
          </cell>
          <cell r="P12">
            <v>2594</v>
          </cell>
        </row>
        <row r="13">
          <cell r="C13" t="str">
            <v>Banadir</v>
          </cell>
          <cell r="F13">
            <v>47611</v>
          </cell>
          <cell r="G13">
            <v>44066</v>
          </cell>
          <cell r="I13">
            <v>106480</v>
          </cell>
          <cell r="J13">
            <v>103792</v>
          </cell>
          <cell r="L13">
            <v>84978</v>
          </cell>
          <cell r="M13">
            <v>94252</v>
          </cell>
          <cell r="O13">
            <v>11904</v>
          </cell>
          <cell r="P13">
            <v>11903</v>
          </cell>
        </row>
        <row r="14">
          <cell r="C14" t="str">
            <v>Banadir</v>
          </cell>
          <cell r="F14">
            <v>12406</v>
          </cell>
          <cell r="G14">
            <v>11482</v>
          </cell>
          <cell r="I14">
            <v>27745</v>
          </cell>
          <cell r="J14">
            <v>27045</v>
          </cell>
          <cell r="L14">
            <v>22144</v>
          </cell>
          <cell r="M14">
            <v>24560</v>
          </cell>
          <cell r="O14">
            <v>3102</v>
          </cell>
          <cell r="P14">
            <v>3102</v>
          </cell>
        </row>
        <row r="15">
          <cell r="C15" t="str">
            <v>Banadir</v>
          </cell>
          <cell r="F15">
            <v>2579</v>
          </cell>
          <cell r="G15">
            <v>2387</v>
          </cell>
          <cell r="I15">
            <v>5766</v>
          </cell>
          <cell r="J15">
            <v>5621</v>
          </cell>
          <cell r="L15">
            <v>4601</v>
          </cell>
          <cell r="M15">
            <v>5105</v>
          </cell>
          <cell r="O15">
            <v>645</v>
          </cell>
          <cell r="P15">
            <v>644</v>
          </cell>
        </row>
        <row r="16">
          <cell r="C16" t="str">
            <v>Banadir</v>
          </cell>
          <cell r="F16">
            <v>12079</v>
          </cell>
          <cell r="G16">
            <v>11180</v>
          </cell>
          <cell r="I16">
            <v>27014</v>
          </cell>
          <cell r="J16">
            <v>26333</v>
          </cell>
          <cell r="L16">
            <v>21560</v>
          </cell>
          <cell r="M16">
            <v>23913</v>
          </cell>
          <cell r="O16">
            <v>3021</v>
          </cell>
          <cell r="P16">
            <v>3020</v>
          </cell>
        </row>
        <row r="17">
          <cell r="C17" t="str">
            <v>Banadir</v>
          </cell>
          <cell r="F17">
            <v>6468</v>
          </cell>
          <cell r="G17">
            <v>5986</v>
          </cell>
          <cell r="I17">
            <v>14465</v>
          </cell>
          <cell r="J17">
            <v>14099</v>
          </cell>
          <cell r="L17">
            <v>11544</v>
          </cell>
          <cell r="M17">
            <v>12803</v>
          </cell>
          <cell r="O17">
            <v>1617</v>
          </cell>
          <cell r="P17">
            <v>1617</v>
          </cell>
        </row>
        <row r="18">
          <cell r="C18" t="str">
            <v>Banadir</v>
          </cell>
          <cell r="F18">
            <v>52962</v>
          </cell>
          <cell r="G18">
            <v>49018</v>
          </cell>
          <cell r="I18">
            <v>118448</v>
          </cell>
          <cell r="J18">
            <v>115457</v>
          </cell>
          <cell r="L18">
            <v>94527</v>
          </cell>
          <cell r="M18">
            <v>104844</v>
          </cell>
          <cell r="O18">
            <v>13241</v>
          </cell>
          <cell r="P18">
            <v>13240</v>
          </cell>
        </row>
        <row r="19">
          <cell r="C19" t="str">
            <v>Banadir</v>
          </cell>
          <cell r="F19">
            <v>10898</v>
          </cell>
          <cell r="G19">
            <v>10086</v>
          </cell>
          <cell r="I19">
            <v>24373</v>
          </cell>
          <cell r="J19">
            <v>23757</v>
          </cell>
          <cell r="L19">
            <v>19450</v>
          </cell>
          <cell r="M19">
            <v>21575</v>
          </cell>
          <cell r="O19">
            <v>2725</v>
          </cell>
          <cell r="P19">
            <v>2725</v>
          </cell>
        </row>
        <row r="20">
          <cell r="C20" t="str">
            <v>Banadir</v>
          </cell>
          <cell r="F20">
            <v>8143</v>
          </cell>
          <cell r="G20">
            <v>7537</v>
          </cell>
          <cell r="I20">
            <v>18212</v>
          </cell>
          <cell r="J20">
            <v>17753</v>
          </cell>
          <cell r="L20">
            <v>14534</v>
          </cell>
          <cell r="M20">
            <v>16120</v>
          </cell>
          <cell r="O20">
            <v>2036</v>
          </cell>
          <cell r="P20">
            <v>2036</v>
          </cell>
        </row>
        <row r="21">
          <cell r="C21" t="str">
            <v>Galgaduud</v>
          </cell>
          <cell r="F21">
            <v>26124</v>
          </cell>
          <cell r="G21">
            <v>21514</v>
          </cell>
          <cell r="I21">
            <v>48723</v>
          </cell>
          <cell r="J21">
            <v>43398</v>
          </cell>
          <cell r="L21">
            <v>28663</v>
          </cell>
          <cell r="M21">
            <v>38377</v>
          </cell>
          <cell r="O21">
            <v>5158</v>
          </cell>
          <cell r="P21">
            <v>6696</v>
          </cell>
        </row>
        <row r="22">
          <cell r="C22" t="str">
            <v>Galgaduud</v>
          </cell>
          <cell r="F22">
            <v>16763</v>
          </cell>
          <cell r="G22">
            <v>13805</v>
          </cell>
          <cell r="I22">
            <v>31265</v>
          </cell>
          <cell r="J22">
            <v>27847</v>
          </cell>
          <cell r="L22">
            <v>18392</v>
          </cell>
          <cell r="M22">
            <v>24627</v>
          </cell>
          <cell r="O22">
            <v>3310</v>
          </cell>
          <cell r="P22">
            <v>4296</v>
          </cell>
        </row>
        <row r="23">
          <cell r="C23" t="str">
            <v>Galgaduud</v>
          </cell>
          <cell r="F23">
            <v>13385</v>
          </cell>
          <cell r="G23">
            <v>11023</v>
          </cell>
          <cell r="I23">
            <v>24963</v>
          </cell>
          <cell r="J23">
            <v>22235</v>
          </cell>
          <cell r="L23">
            <v>14687</v>
          </cell>
          <cell r="M23">
            <v>19663</v>
          </cell>
          <cell r="O23">
            <v>2644</v>
          </cell>
          <cell r="P23">
            <v>3431</v>
          </cell>
        </row>
        <row r="24">
          <cell r="C24" t="str">
            <v>Galgaduud</v>
          </cell>
          <cell r="F24">
            <v>12964</v>
          </cell>
          <cell r="G24">
            <v>10677</v>
          </cell>
          <cell r="I24">
            <v>24179</v>
          </cell>
          <cell r="J24">
            <v>21536</v>
          </cell>
          <cell r="L24">
            <v>14224</v>
          </cell>
          <cell r="M24">
            <v>19047</v>
          </cell>
          <cell r="O24">
            <v>2561</v>
          </cell>
          <cell r="P24">
            <v>3323</v>
          </cell>
        </row>
        <row r="25">
          <cell r="C25" t="str">
            <v>Galgaduud</v>
          </cell>
          <cell r="F25">
            <v>30875</v>
          </cell>
          <cell r="G25">
            <v>25426</v>
          </cell>
          <cell r="I25">
            <v>57581</v>
          </cell>
          <cell r="J25">
            <v>51289</v>
          </cell>
          <cell r="L25">
            <v>33875</v>
          </cell>
          <cell r="M25">
            <v>45357</v>
          </cell>
          <cell r="O25">
            <v>6098</v>
          </cell>
          <cell r="P25">
            <v>7915</v>
          </cell>
        </row>
        <row r="26">
          <cell r="C26" t="str">
            <v>Mudug</v>
          </cell>
          <cell r="F26">
            <v>72680</v>
          </cell>
          <cell r="G26">
            <v>63553</v>
          </cell>
          <cell r="I26">
            <v>143467</v>
          </cell>
          <cell r="J26">
            <v>135034</v>
          </cell>
          <cell r="L26">
            <v>104660</v>
          </cell>
          <cell r="M26">
            <v>123236</v>
          </cell>
          <cell r="O26">
            <v>15550</v>
          </cell>
          <cell r="P26">
            <v>16565</v>
          </cell>
        </row>
        <row r="27">
          <cell r="C27" t="str">
            <v>Mudug</v>
          </cell>
          <cell r="F27">
            <v>20788</v>
          </cell>
          <cell r="G27">
            <v>17120</v>
          </cell>
          <cell r="I27">
            <v>38770</v>
          </cell>
          <cell r="J27">
            <v>34533</v>
          </cell>
          <cell r="L27">
            <v>22808</v>
          </cell>
          <cell r="M27">
            <v>30538</v>
          </cell>
          <cell r="O27">
            <v>4105</v>
          </cell>
          <cell r="P27">
            <v>5329</v>
          </cell>
        </row>
        <row r="28">
          <cell r="C28" t="str">
            <v>Mudug</v>
          </cell>
          <cell r="F28">
            <v>20465</v>
          </cell>
          <cell r="G28">
            <v>17895</v>
          </cell>
          <cell r="I28">
            <v>40396</v>
          </cell>
          <cell r="J28">
            <v>38022</v>
          </cell>
          <cell r="L28">
            <v>29470</v>
          </cell>
          <cell r="M28">
            <v>34699</v>
          </cell>
          <cell r="O28">
            <v>4378</v>
          </cell>
          <cell r="P28">
            <v>4664</v>
          </cell>
        </row>
        <row r="29">
          <cell r="C29" t="str">
            <v>Mudug</v>
          </cell>
          <cell r="F29">
            <v>23153</v>
          </cell>
          <cell r="G29">
            <v>19067</v>
          </cell>
          <cell r="I29">
            <v>43181</v>
          </cell>
          <cell r="J29">
            <v>38462</v>
          </cell>
          <cell r="L29">
            <v>25402</v>
          </cell>
          <cell r="M29">
            <v>34012</v>
          </cell>
          <cell r="O29">
            <v>4572</v>
          </cell>
          <cell r="P29">
            <v>5934</v>
          </cell>
        </row>
        <row r="30">
          <cell r="C30" t="str">
            <v>Mudug</v>
          </cell>
          <cell r="F30">
            <v>23785</v>
          </cell>
          <cell r="G30">
            <v>19588</v>
          </cell>
          <cell r="I30">
            <v>44360</v>
          </cell>
          <cell r="J30">
            <v>39511</v>
          </cell>
          <cell r="L30">
            <v>26097</v>
          </cell>
          <cell r="M30">
            <v>34942</v>
          </cell>
          <cell r="O30">
            <v>4697</v>
          </cell>
          <cell r="P30">
            <v>6096</v>
          </cell>
        </row>
        <row r="31">
          <cell r="C31" t="str">
            <v>Mudug</v>
          </cell>
          <cell r="F31">
            <v>10090</v>
          </cell>
          <cell r="G31">
            <v>8309</v>
          </cell>
          <cell r="I31">
            <v>18818</v>
          </cell>
          <cell r="J31">
            <v>16761</v>
          </cell>
          <cell r="L31">
            <v>11071</v>
          </cell>
          <cell r="M31">
            <v>14823</v>
          </cell>
          <cell r="O31">
            <v>1993</v>
          </cell>
          <cell r="P31">
            <v>2586</v>
          </cell>
        </row>
        <row r="32">
          <cell r="C32" t="str">
            <v>Hiraan</v>
          </cell>
          <cell r="F32">
            <v>38163</v>
          </cell>
          <cell r="G32">
            <v>40274</v>
          </cell>
          <cell r="I32">
            <v>73666</v>
          </cell>
          <cell r="J32">
            <v>70772</v>
          </cell>
          <cell r="L32">
            <v>54367</v>
          </cell>
          <cell r="M32">
            <v>57436</v>
          </cell>
          <cell r="O32">
            <v>8441</v>
          </cell>
          <cell r="P32">
            <v>7563</v>
          </cell>
        </row>
        <row r="33">
          <cell r="C33" t="str">
            <v>Hiraan</v>
          </cell>
          <cell r="F33">
            <v>11300</v>
          </cell>
          <cell r="G33">
            <v>11925</v>
          </cell>
          <cell r="I33">
            <v>21813</v>
          </cell>
          <cell r="J33">
            <v>20955</v>
          </cell>
          <cell r="L33">
            <v>16098</v>
          </cell>
          <cell r="M33">
            <v>17007</v>
          </cell>
          <cell r="O33">
            <v>2500</v>
          </cell>
          <cell r="P33">
            <v>2239</v>
          </cell>
        </row>
        <row r="34">
          <cell r="C34" t="str">
            <v>Hiraan</v>
          </cell>
          <cell r="F34">
            <v>7182</v>
          </cell>
          <cell r="G34">
            <v>7580</v>
          </cell>
          <cell r="I34">
            <v>13864</v>
          </cell>
          <cell r="J34">
            <v>13319</v>
          </cell>
          <cell r="L34">
            <v>10231</v>
          </cell>
          <cell r="M34">
            <v>10810</v>
          </cell>
          <cell r="O34">
            <v>1589</v>
          </cell>
          <cell r="P34">
            <v>1423</v>
          </cell>
        </row>
        <row r="35">
          <cell r="C35" t="str">
            <v>Middle Shabelle</v>
          </cell>
          <cell r="F35">
            <v>11399</v>
          </cell>
          <cell r="G35">
            <v>12029</v>
          </cell>
          <cell r="I35">
            <v>22003</v>
          </cell>
          <cell r="J35">
            <v>21139</v>
          </cell>
          <cell r="L35">
            <v>16238</v>
          </cell>
          <cell r="M35">
            <v>17157</v>
          </cell>
          <cell r="O35">
            <v>2522</v>
          </cell>
          <cell r="P35">
            <v>2259</v>
          </cell>
        </row>
        <row r="36">
          <cell r="C36" t="str">
            <v>Middle Shabelle</v>
          </cell>
          <cell r="F36">
            <v>44378</v>
          </cell>
          <cell r="G36">
            <v>46832</v>
          </cell>
          <cell r="I36">
            <v>85663</v>
          </cell>
          <cell r="J36">
            <v>82296</v>
          </cell>
          <cell r="L36">
            <v>63218</v>
          </cell>
          <cell r="M36">
            <v>66789</v>
          </cell>
          <cell r="O36">
            <v>9817</v>
          </cell>
          <cell r="P36">
            <v>8795</v>
          </cell>
        </row>
        <row r="37">
          <cell r="C37" t="str">
            <v>Middle Shabelle</v>
          </cell>
          <cell r="F37">
            <v>9406</v>
          </cell>
          <cell r="G37">
            <v>9926</v>
          </cell>
          <cell r="I37">
            <v>18157</v>
          </cell>
          <cell r="J37">
            <v>17443</v>
          </cell>
          <cell r="L37">
            <v>13400</v>
          </cell>
          <cell r="M37">
            <v>14156</v>
          </cell>
          <cell r="O37">
            <v>2080</v>
          </cell>
          <cell r="P37">
            <v>1865</v>
          </cell>
        </row>
        <row r="38">
          <cell r="C38" t="str">
            <v>Middle Shabelle</v>
          </cell>
          <cell r="F38">
            <v>48526</v>
          </cell>
          <cell r="G38">
            <v>51210</v>
          </cell>
          <cell r="I38">
            <v>93670</v>
          </cell>
          <cell r="J38">
            <v>89989</v>
          </cell>
          <cell r="L38">
            <v>69129</v>
          </cell>
          <cell r="M38">
            <v>73032</v>
          </cell>
          <cell r="O38">
            <v>10733</v>
          </cell>
          <cell r="P38">
            <v>9616</v>
          </cell>
        </row>
        <row r="39">
          <cell r="C39" t="str">
            <v>Gedo</v>
          </cell>
          <cell r="F39">
            <v>24227</v>
          </cell>
          <cell r="G39">
            <v>22963</v>
          </cell>
          <cell r="I39">
            <v>43297</v>
          </cell>
          <cell r="J39">
            <v>42640</v>
          </cell>
          <cell r="L39">
            <v>33176</v>
          </cell>
          <cell r="M39">
            <v>35625</v>
          </cell>
          <cell r="O39">
            <v>3897</v>
          </cell>
          <cell r="P39">
            <v>4108</v>
          </cell>
        </row>
        <row r="40">
          <cell r="C40" t="str">
            <v>Gedo</v>
          </cell>
          <cell r="F40">
            <v>20614</v>
          </cell>
          <cell r="G40">
            <v>19538</v>
          </cell>
          <cell r="I40">
            <v>36839</v>
          </cell>
          <cell r="J40">
            <v>36281</v>
          </cell>
          <cell r="L40">
            <v>28228</v>
          </cell>
          <cell r="M40">
            <v>30310</v>
          </cell>
          <cell r="O40">
            <v>3316</v>
          </cell>
          <cell r="P40">
            <v>3495</v>
          </cell>
        </row>
        <row r="41">
          <cell r="C41" t="str">
            <v>Gedo</v>
          </cell>
          <cell r="F41">
            <v>12319</v>
          </cell>
          <cell r="G41">
            <v>11677</v>
          </cell>
          <cell r="I41">
            <v>22016</v>
          </cell>
          <cell r="J41">
            <v>21682</v>
          </cell>
          <cell r="L41">
            <v>16868</v>
          </cell>
          <cell r="M41">
            <v>18115</v>
          </cell>
          <cell r="O41">
            <v>1981</v>
          </cell>
          <cell r="P41">
            <v>2089</v>
          </cell>
        </row>
        <row r="42">
          <cell r="C42" t="str">
            <v>Gedo</v>
          </cell>
          <cell r="F42">
            <v>24481</v>
          </cell>
          <cell r="G42">
            <v>23204</v>
          </cell>
          <cell r="I42">
            <v>43750</v>
          </cell>
          <cell r="J42">
            <v>43087</v>
          </cell>
          <cell r="L42">
            <v>33528</v>
          </cell>
          <cell r="M42">
            <v>35997</v>
          </cell>
          <cell r="O42">
            <v>3939</v>
          </cell>
          <cell r="P42">
            <v>4151</v>
          </cell>
        </row>
        <row r="43">
          <cell r="C43" t="str">
            <v>Gedo</v>
          </cell>
          <cell r="F43">
            <v>17638</v>
          </cell>
          <cell r="G43">
            <v>16718</v>
          </cell>
          <cell r="I43">
            <v>31522</v>
          </cell>
          <cell r="J43">
            <v>31043</v>
          </cell>
          <cell r="L43">
            <v>24155</v>
          </cell>
          <cell r="M43">
            <v>25937</v>
          </cell>
          <cell r="O43">
            <v>2837</v>
          </cell>
          <cell r="P43">
            <v>2991</v>
          </cell>
        </row>
        <row r="44">
          <cell r="C44" t="str">
            <v>Gedo</v>
          </cell>
          <cell r="F44">
            <v>16808</v>
          </cell>
          <cell r="G44">
            <v>15931</v>
          </cell>
          <cell r="I44">
            <v>30038</v>
          </cell>
          <cell r="J44">
            <v>29583</v>
          </cell>
          <cell r="L44">
            <v>23017</v>
          </cell>
          <cell r="M44">
            <v>24715</v>
          </cell>
          <cell r="O44">
            <v>2703</v>
          </cell>
          <cell r="P44">
            <v>2850</v>
          </cell>
        </row>
        <row r="45">
          <cell r="C45" t="str">
            <v>Lower Juba</v>
          </cell>
          <cell r="F45">
            <v>32841</v>
          </cell>
          <cell r="G45">
            <v>31128</v>
          </cell>
          <cell r="I45">
            <v>58691</v>
          </cell>
          <cell r="J45">
            <v>57802</v>
          </cell>
          <cell r="L45">
            <v>44974</v>
          </cell>
          <cell r="M45">
            <v>48290</v>
          </cell>
          <cell r="O45">
            <v>5285</v>
          </cell>
          <cell r="P45">
            <v>5569</v>
          </cell>
        </row>
        <row r="46">
          <cell r="C46" t="str">
            <v>Lower Juba</v>
          </cell>
          <cell r="F46">
            <v>10036</v>
          </cell>
          <cell r="G46">
            <v>9513</v>
          </cell>
          <cell r="I46">
            <v>17936</v>
          </cell>
          <cell r="J46">
            <v>17664</v>
          </cell>
          <cell r="L46">
            <v>13743</v>
          </cell>
          <cell r="M46">
            <v>14759</v>
          </cell>
          <cell r="O46">
            <v>1614</v>
          </cell>
          <cell r="P46">
            <v>1702</v>
          </cell>
        </row>
        <row r="47">
          <cell r="C47" t="str">
            <v>Lower Juba</v>
          </cell>
          <cell r="F47">
            <v>52235</v>
          </cell>
          <cell r="G47">
            <v>49510</v>
          </cell>
          <cell r="I47">
            <v>93348</v>
          </cell>
          <cell r="J47">
            <v>91935</v>
          </cell>
          <cell r="L47">
            <v>71531</v>
          </cell>
          <cell r="M47">
            <v>76807</v>
          </cell>
          <cell r="O47">
            <v>8404</v>
          </cell>
          <cell r="P47">
            <v>8857</v>
          </cell>
        </row>
        <row r="48">
          <cell r="C48" t="str">
            <v>Lower Juba</v>
          </cell>
          <cell r="F48">
            <v>42711</v>
          </cell>
          <cell r="G48">
            <v>40483</v>
          </cell>
          <cell r="I48">
            <v>76330</v>
          </cell>
          <cell r="J48">
            <v>75173</v>
          </cell>
          <cell r="L48">
            <v>58490</v>
          </cell>
          <cell r="M48">
            <v>62803</v>
          </cell>
          <cell r="O48">
            <v>6870</v>
          </cell>
          <cell r="P48">
            <v>7242</v>
          </cell>
        </row>
        <row r="49">
          <cell r="C49" t="str">
            <v>Middle Juba</v>
          </cell>
          <cell r="F49">
            <v>17770</v>
          </cell>
          <cell r="G49">
            <v>16843</v>
          </cell>
          <cell r="I49">
            <v>31758</v>
          </cell>
          <cell r="J49">
            <v>31276</v>
          </cell>
          <cell r="L49">
            <v>24333</v>
          </cell>
          <cell r="M49">
            <v>26131</v>
          </cell>
          <cell r="O49">
            <v>2860</v>
          </cell>
          <cell r="P49">
            <v>3014</v>
          </cell>
        </row>
        <row r="50">
          <cell r="C50" t="str">
            <v>Middle Juba</v>
          </cell>
          <cell r="F50">
            <v>20101</v>
          </cell>
          <cell r="G50">
            <v>19053</v>
          </cell>
          <cell r="I50">
            <v>35923</v>
          </cell>
          <cell r="J50">
            <v>35379</v>
          </cell>
          <cell r="L50">
            <v>27527</v>
          </cell>
          <cell r="M50">
            <v>29556</v>
          </cell>
          <cell r="O50">
            <v>3233</v>
          </cell>
          <cell r="P50">
            <v>3410</v>
          </cell>
        </row>
        <row r="51">
          <cell r="C51" t="str">
            <v>Middle Juba</v>
          </cell>
          <cell r="F51">
            <v>13311</v>
          </cell>
          <cell r="G51">
            <v>12616</v>
          </cell>
          <cell r="I51">
            <v>23788</v>
          </cell>
          <cell r="J51">
            <v>23427</v>
          </cell>
          <cell r="L51">
            <v>18228</v>
          </cell>
          <cell r="M51">
            <v>19572</v>
          </cell>
          <cell r="O51">
            <v>2141</v>
          </cell>
          <cell r="P51">
            <v>2257</v>
          </cell>
        </row>
        <row r="52">
          <cell r="C52" t="str">
            <v>Bari</v>
          </cell>
          <cell r="F52">
            <v>5570</v>
          </cell>
          <cell r="G52">
            <v>4871</v>
          </cell>
          <cell r="I52">
            <v>10996</v>
          </cell>
          <cell r="J52">
            <v>10349</v>
          </cell>
          <cell r="L52">
            <v>8021</v>
          </cell>
          <cell r="M52">
            <v>9446</v>
          </cell>
          <cell r="O52">
            <v>1192</v>
          </cell>
          <cell r="P52">
            <v>1269</v>
          </cell>
        </row>
        <row r="53">
          <cell r="C53" t="str">
            <v>Bari</v>
          </cell>
          <cell r="F53">
            <v>88128</v>
          </cell>
          <cell r="G53">
            <v>77061</v>
          </cell>
          <cell r="I53">
            <v>173961</v>
          </cell>
          <cell r="J53">
            <v>163735</v>
          </cell>
          <cell r="L53">
            <v>126904</v>
          </cell>
          <cell r="M53">
            <v>149428</v>
          </cell>
          <cell r="O53">
            <v>18856</v>
          </cell>
          <cell r="P53">
            <v>20085</v>
          </cell>
        </row>
        <row r="54">
          <cell r="C54" t="str">
            <v>Bari</v>
          </cell>
          <cell r="F54">
            <v>10612</v>
          </cell>
          <cell r="G54">
            <v>9279</v>
          </cell>
          <cell r="I54">
            <v>20948</v>
          </cell>
          <cell r="J54">
            <v>19716</v>
          </cell>
          <cell r="L54">
            <v>15282</v>
          </cell>
          <cell r="M54">
            <v>17993</v>
          </cell>
          <cell r="O54">
            <v>2270</v>
          </cell>
          <cell r="P54">
            <v>2418</v>
          </cell>
        </row>
        <row r="55">
          <cell r="C55" t="str">
            <v>Bari</v>
          </cell>
          <cell r="F55">
            <v>6682</v>
          </cell>
          <cell r="G55">
            <v>5843</v>
          </cell>
          <cell r="I55">
            <v>13189</v>
          </cell>
          <cell r="J55">
            <v>12414</v>
          </cell>
          <cell r="L55">
            <v>9622</v>
          </cell>
          <cell r="M55">
            <v>11329</v>
          </cell>
          <cell r="O55">
            <v>1429</v>
          </cell>
          <cell r="P55">
            <v>1522</v>
          </cell>
        </row>
        <row r="56">
          <cell r="C56" t="str">
            <v>Bari</v>
          </cell>
          <cell r="F56">
            <v>7153</v>
          </cell>
          <cell r="G56">
            <v>6255</v>
          </cell>
          <cell r="I56">
            <v>14119</v>
          </cell>
          <cell r="J56">
            <v>13290</v>
          </cell>
          <cell r="L56">
            <v>10299</v>
          </cell>
          <cell r="M56">
            <v>12128</v>
          </cell>
          <cell r="O56">
            <v>1531</v>
          </cell>
          <cell r="P56">
            <v>1631</v>
          </cell>
        </row>
        <row r="57">
          <cell r="C57" t="str">
            <v>Bari</v>
          </cell>
          <cell r="F57">
            <v>18713</v>
          </cell>
          <cell r="G57">
            <v>16363</v>
          </cell>
          <cell r="I57">
            <v>36939</v>
          </cell>
          <cell r="J57">
            <v>34767</v>
          </cell>
          <cell r="L57">
            <v>26948</v>
          </cell>
          <cell r="M57">
            <v>31729</v>
          </cell>
          <cell r="O57">
            <v>4003</v>
          </cell>
          <cell r="P57">
            <v>4264</v>
          </cell>
        </row>
        <row r="58">
          <cell r="C58" t="str">
            <v>Nugaal</v>
          </cell>
          <cell r="F58">
            <v>14463</v>
          </cell>
          <cell r="G58">
            <v>12647</v>
          </cell>
          <cell r="I58">
            <v>28550</v>
          </cell>
          <cell r="J58">
            <v>26871</v>
          </cell>
          <cell r="L58">
            <v>20827</v>
          </cell>
          <cell r="M58">
            <v>24524</v>
          </cell>
          <cell r="O58">
            <v>3095</v>
          </cell>
          <cell r="P58">
            <v>3297</v>
          </cell>
        </row>
        <row r="59">
          <cell r="C59" t="str">
            <v>Nugaal</v>
          </cell>
          <cell r="F59">
            <v>18881</v>
          </cell>
          <cell r="G59">
            <v>16510</v>
          </cell>
          <cell r="I59">
            <v>37270</v>
          </cell>
          <cell r="J59">
            <v>35079</v>
          </cell>
          <cell r="L59">
            <v>27190</v>
          </cell>
          <cell r="M59">
            <v>32014</v>
          </cell>
          <cell r="O59">
            <v>4040</v>
          </cell>
          <cell r="P59">
            <v>4303</v>
          </cell>
        </row>
        <row r="60">
          <cell r="C60" t="str">
            <v>Nugaal</v>
          </cell>
          <cell r="F60">
            <v>36828</v>
          </cell>
          <cell r="G60">
            <v>32203</v>
          </cell>
          <cell r="I60">
            <v>72697</v>
          </cell>
          <cell r="J60">
            <v>68424</v>
          </cell>
          <cell r="L60">
            <v>53032</v>
          </cell>
          <cell r="M60">
            <v>62445</v>
          </cell>
          <cell r="O60">
            <v>7880</v>
          </cell>
          <cell r="P60">
            <v>8394</v>
          </cell>
        </row>
        <row r="61">
          <cell r="C61" t="str">
            <v>Awdal</v>
          </cell>
          <cell r="F61">
            <v>6927</v>
          </cell>
          <cell r="G61">
            <v>6412</v>
          </cell>
          <cell r="I61">
            <v>14405</v>
          </cell>
          <cell r="J61">
            <v>13543</v>
          </cell>
          <cell r="L61">
            <v>10971</v>
          </cell>
          <cell r="M61">
            <v>12587</v>
          </cell>
          <cell r="O61">
            <v>1613</v>
          </cell>
          <cell r="P61">
            <v>1714</v>
          </cell>
        </row>
        <row r="62">
          <cell r="C62" t="str">
            <v>Awdal</v>
          </cell>
          <cell r="F62">
            <v>45218</v>
          </cell>
          <cell r="G62">
            <v>41860</v>
          </cell>
          <cell r="I62">
            <v>94036</v>
          </cell>
          <cell r="J62">
            <v>88406</v>
          </cell>
          <cell r="L62">
            <v>71612</v>
          </cell>
          <cell r="M62">
            <v>82169</v>
          </cell>
          <cell r="O62">
            <v>10522</v>
          </cell>
          <cell r="P62">
            <v>11193</v>
          </cell>
        </row>
        <row r="63">
          <cell r="C63" t="str">
            <v>Awdal</v>
          </cell>
          <cell r="F63">
            <v>7537</v>
          </cell>
          <cell r="G63">
            <v>6977</v>
          </cell>
          <cell r="I63">
            <v>15673</v>
          </cell>
          <cell r="J63">
            <v>14735</v>
          </cell>
          <cell r="L63">
            <v>11938</v>
          </cell>
          <cell r="M63">
            <v>13697</v>
          </cell>
          <cell r="O63">
            <v>1754</v>
          </cell>
          <cell r="P63">
            <v>1866</v>
          </cell>
        </row>
        <row r="64">
          <cell r="C64" t="str">
            <v>Awdal</v>
          </cell>
          <cell r="F64">
            <v>6963</v>
          </cell>
          <cell r="G64">
            <v>6446</v>
          </cell>
          <cell r="I64">
            <v>14481</v>
          </cell>
          <cell r="J64">
            <v>13614</v>
          </cell>
          <cell r="L64">
            <v>11028</v>
          </cell>
          <cell r="M64">
            <v>12653</v>
          </cell>
          <cell r="O64">
            <v>1620</v>
          </cell>
          <cell r="P64">
            <v>1724</v>
          </cell>
        </row>
        <row r="65">
          <cell r="C65" t="str">
            <v>Sanaag</v>
          </cell>
          <cell r="F65">
            <v>9740</v>
          </cell>
          <cell r="G65">
            <v>9016</v>
          </cell>
          <cell r="I65">
            <v>20255</v>
          </cell>
          <cell r="J65">
            <v>19041</v>
          </cell>
          <cell r="L65">
            <v>15425</v>
          </cell>
          <cell r="M65">
            <v>17698</v>
          </cell>
          <cell r="O65">
            <v>2266</v>
          </cell>
          <cell r="P65">
            <v>2412</v>
          </cell>
        </row>
        <row r="66">
          <cell r="C66" t="str">
            <v>Sanaag</v>
          </cell>
          <cell r="F66">
            <v>18581</v>
          </cell>
          <cell r="G66">
            <v>17202</v>
          </cell>
          <cell r="I66">
            <v>38643</v>
          </cell>
          <cell r="J66">
            <v>36329</v>
          </cell>
          <cell r="L66">
            <v>29429</v>
          </cell>
          <cell r="M66">
            <v>33766</v>
          </cell>
          <cell r="O66">
            <v>4324</v>
          </cell>
          <cell r="P66">
            <v>4600</v>
          </cell>
        </row>
        <row r="67">
          <cell r="C67" t="str">
            <v>Sanaag</v>
          </cell>
          <cell r="F67">
            <v>16594</v>
          </cell>
          <cell r="G67">
            <v>15362</v>
          </cell>
          <cell r="I67">
            <v>34509</v>
          </cell>
          <cell r="J67">
            <v>32442</v>
          </cell>
          <cell r="L67">
            <v>26280</v>
          </cell>
          <cell r="M67">
            <v>30153</v>
          </cell>
          <cell r="O67">
            <v>3860</v>
          </cell>
          <cell r="P67">
            <v>4107</v>
          </cell>
        </row>
        <row r="68">
          <cell r="C68" t="str">
            <v>Sool</v>
          </cell>
          <cell r="F68">
            <v>10077</v>
          </cell>
          <cell r="G68">
            <v>9329</v>
          </cell>
          <cell r="I68">
            <v>20957</v>
          </cell>
          <cell r="J68">
            <v>19702</v>
          </cell>
          <cell r="L68">
            <v>15960</v>
          </cell>
          <cell r="M68">
            <v>18311</v>
          </cell>
          <cell r="O68">
            <v>2345</v>
          </cell>
          <cell r="P68">
            <v>2495</v>
          </cell>
        </row>
        <row r="69">
          <cell r="C69" t="str">
            <v>Sool</v>
          </cell>
          <cell r="F69">
            <v>27672</v>
          </cell>
          <cell r="G69">
            <v>25617</v>
          </cell>
          <cell r="I69">
            <v>57547</v>
          </cell>
          <cell r="J69">
            <v>54100</v>
          </cell>
          <cell r="L69">
            <v>43827</v>
          </cell>
          <cell r="M69">
            <v>50286</v>
          </cell>
          <cell r="O69">
            <v>6439</v>
          </cell>
          <cell r="P69">
            <v>6850</v>
          </cell>
        </row>
        <row r="70">
          <cell r="C70" t="str">
            <v>Sool</v>
          </cell>
          <cell r="F70">
            <v>9725</v>
          </cell>
          <cell r="G70">
            <v>9003</v>
          </cell>
          <cell r="I70">
            <v>20224</v>
          </cell>
          <cell r="J70">
            <v>19014</v>
          </cell>
          <cell r="L70">
            <v>15402</v>
          </cell>
          <cell r="M70">
            <v>17672</v>
          </cell>
          <cell r="O70">
            <v>2262</v>
          </cell>
          <cell r="P70">
            <v>2407</v>
          </cell>
        </row>
        <row r="71">
          <cell r="C71" t="str">
            <v>Sool</v>
          </cell>
          <cell r="F71">
            <v>10042</v>
          </cell>
          <cell r="G71">
            <v>9296</v>
          </cell>
          <cell r="I71">
            <v>20884</v>
          </cell>
          <cell r="J71">
            <v>19633</v>
          </cell>
          <cell r="L71">
            <v>15904</v>
          </cell>
          <cell r="M71">
            <v>18249</v>
          </cell>
          <cell r="O71">
            <v>2336</v>
          </cell>
          <cell r="P71">
            <v>2486</v>
          </cell>
        </row>
        <row r="72">
          <cell r="C72" t="str">
            <v>Togdheer</v>
          </cell>
          <cell r="F72">
            <v>54523</v>
          </cell>
          <cell r="G72">
            <v>50475</v>
          </cell>
          <cell r="I72">
            <v>113388</v>
          </cell>
          <cell r="J72">
            <v>106597</v>
          </cell>
          <cell r="L72">
            <v>86350</v>
          </cell>
          <cell r="M72">
            <v>99080</v>
          </cell>
          <cell r="O72">
            <v>12686</v>
          </cell>
          <cell r="P72">
            <v>13496</v>
          </cell>
        </row>
        <row r="73">
          <cell r="C73" t="str">
            <v>Togdheer</v>
          </cell>
          <cell r="F73">
            <v>10203</v>
          </cell>
          <cell r="G73">
            <v>9446</v>
          </cell>
          <cell r="I73">
            <v>21219</v>
          </cell>
          <cell r="J73">
            <v>19949</v>
          </cell>
          <cell r="L73">
            <v>16160</v>
          </cell>
          <cell r="M73">
            <v>18541</v>
          </cell>
          <cell r="O73">
            <v>2375</v>
          </cell>
          <cell r="P73">
            <v>2526</v>
          </cell>
        </row>
        <row r="74">
          <cell r="C74" t="str">
            <v>Togdheer</v>
          </cell>
          <cell r="F74">
            <v>10264</v>
          </cell>
          <cell r="G74">
            <v>9502</v>
          </cell>
          <cell r="I74">
            <v>21345</v>
          </cell>
          <cell r="J74">
            <v>20066</v>
          </cell>
          <cell r="L74">
            <v>16256</v>
          </cell>
          <cell r="M74">
            <v>18651</v>
          </cell>
          <cell r="O74">
            <v>2387</v>
          </cell>
          <cell r="P74">
            <v>2541</v>
          </cell>
        </row>
        <row r="75">
          <cell r="C75" t="str">
            <v>Togdheer</v>
          </cell>
          <cell r="F75">
            <v>15183</v>
          </cell>
          <cell r="G75">
            <v>14056</v>
          </cell>
          <cell r="I75">
            <v>31575</v>
          </cell>
          <cell r="J75">
            <v>29685</v>
          </cell>
          <cell r="L75">
            <v>24046</v>
          </cell>
          <cell r="M75">
            <v>27589</v>
          </cell>
          <cell r="O75">
            <v>3532</v>
          </cell>
          <cell r="P75">
            <v>3758</v>
          </cell>
        </row>
        <row r="76">
          <cell r="C76" t="str">
            <v>Woqooyi Galbeed</v>
          </cell>
          <cell r="F76">
            <v>19900</v>
          </cell>
          <cell r="G76">
            <v>18422</v>
          </cell>
          <cell r="I76">
            <v>41385</v>
          </cell>
          <cell r="J76">
            <v>38906</v>
          </cell>
          <cell r="L76">
            <v>31517</v>
          </cell>
          <cell r="M76">
            <v>36164</v>
          </cell>
          <cell r="O76">
            <v>4631</v>
          </cell>
          <cell r="P76">
            <v>4926</v>
          </cell>
        </row>
        <row r="77">
          <cell r="C77" t="str">
            <v>Woqooyi Galbeed</v>
          </cell>
          <cell r="F77">
            <v>22215</v>
          </cell>
          <cell r="G77">
            <v>20565</v>
          </cell>
          <cell r="I77">
            <v>46198</v>
          </cell>
          <cell r="J77">
            <v>43432</v>
          </cell>
          <cell r="L77">
            <v>35184</v>
          </cell>
          <cell r="M77">
            <v>40369</v>
          </cell>
          <cell r="O77">
            <v>5170</v>
          </cell>
          <cell r="P77">
            <v>5500</v>
          </cell>
        </row>
        <row r="78">
          <cell r="C78" t="str">
            <v>Woqooyi Galbeed</v>
          </cell>
          <cell r="F78">
            <v>109537</v>
          </cell>
          <cell r="G78">
            <v>101403</v>
          </cell>
          <cell r="I78">
            <v>227797</v>
          </cell>
          <cell r="J78">
            <v>214154</v>
          </cell>
          <cell r="L78">
            <v>173480</v>
          </cell>
          <cell r="M78">
            <v>199051</v>
          </cell>
          <cell r="O78">
            <v>25487</v>
          </cell>
          <cell r="P78">
            <v>27113</v>
          </cell>
        </row>
        <row r="79">
          <cell r="C79" t="str">
            <v>Bakool</v>
          </cell>
          <cell r="F79">
            <v>8834</v>
          </cell>
          <cell r="G79">
            <v>8178</v>
          </cell>
          <cell r="I79">
            <v>18372</v>
          </cell>
          <cell r="J79">
            <v>17271</v>
          </cell>
          <cell r="L79">
            <v>13990</v>
          </cell>
          <cell r="M79">
            <v>16052</v>
          </cell>
          <cell r="O79">
            <v>2055</v>
          </cell>
          <cell r="P79">
            <v>2187</v>
          </cell>
        </row>
        <row r="80">
          <cell r="C80" t="str">
            <v>Bakool</v>
          </cell>
          <cell r="F80">
            <v>9366</v>
          </cell>
          <cell r="G80">
            <v>8671</v>
          </cell>
          <cell r="I80">
            <v>19478</v>
          </cell>
          <cell r="J80">
            <v>18311</v>
          </cell>
          <cell r="L80">
            <v>14834</v>
          </cell>
          <cell r="M80">
            <v>17019</v>
          </cell>
          <cell r="O80">
            <v>2179</v>
          </cell>
          <cell r="P80">
            <v>2318</v>
          </cell>
        </row>
        <row r="81">
          <cell r="C81" t="str">
            <v>Bakool</v>
          </cell>
          <cell r="F81">
            <v>17301</v>
          </cell>
          <cell r="G81">
            <v>16016</v>
          </cell>
          <cell r="I81">
            <v>35980</v>
          </cell>
          <cell r="J81">
            <v>33824</v>
          </cell>
          <cell r="L81">
            <v>27399</v>
          </cell>
          <cell r="M81">
            <v>31439</v>
          </cell>
          <cell r="O81">
            <v>4025</v>
          </cell>
          <cell r="P81">
            <v>4283</v>
          </cell>
        </row>
        <row r="82">
          <cell r="C82" t="str">
            <v>Bakool</v>
          </cell>
          <cell r="F82">
            <v>9386</v>
          </cell>
          <cell r="G82">
            <v>8689</v>
          </cell>
          <cell r="I82">
            <v>19518</v>
          </cell>
          <cell r="J82">
            <v>18351</v>
          </cell>
          <cell r="L82">
            <v>14864</v>
          </cell>
          <cell r="M82">
            <v>17056</v>
          </cell>
          <cell r="O82">
            <v>2184</v>
          </cell>
          <cell r="P82">
            <v>2323</v>
          </cell>
        </row>
        <row r="83">
          <cell r="C83" t="str">
            <v>Bakool</v>
          </cell>
          <cell r="F83">
            <v>12042</v>
          </cell>
          <cell r="G83">
            <v>11148</v>
          </cell>
          <cell r="I83">
            <v>25043</v>
          </cell>
          <cell r="J83">
            <v>23544</v>
          </cell>
          <cell r="L83">
            <v>19072</v>
          </cell>
          <cell r="M83">
            <v>21882</v>
          </cell>
          <cell r="O83">
            <v>2803</v>
          </cell>
          <cell r="P83">
            <v>2980</v>
          </cell>
        </row>
        <row r="84">
          <cell r="C84" t="str">
            <v>Bay</v>
          </cell>
          <cell r="F84">
            <v>76865</v>
          </cell>
          <cell r="G84">
            <v>71157</v>
          </cell>
          <cell r="I84">
            <v>159851</v>
          </cell>
          <cell r="J84">
            <v>150278</v>
          </cell>
          <cell r="L84">
            <v>121735</v>
          </cell>
          <cell r="M84">
            <v>139680</v>
          </cell>
          <cell r="O84">
            <v>17885</v>
          </cell>
          <cell r="P84">
            <v>19026</v>
          </cell>
        </row>
        <row r="85">
          <cell r="C85" t="str">
            <v>Bay</v>
          </cell>
          <cell r="F85">
            <v>21398</v>
          </cell>
          <cell r="G85">
            <v>19809</v>
          </cell>
          <cell r="I85">
            <v>44499</v>
          </cell>
          <cell r="J85">
            <v>41833</v>
          </cell>
          <cell r="L85">
            <v>33889</v>
          </cell>
          <cell r="M85">
            <v>38883</v>
          </cell>
          <cell r="O85">
            <v>4979</v>
          </cell>
          <cell r="P85">
            <v>5297</v>
          </cell>
        </row>
        <row r="86">
          <cell r="C86" t="str">
            <v>Bay</v>
          </cell>
          <cell r="F86">
            <v>18206</v>
          </cell>
          <cell r="G86">
            <v>16855</v>
          </cell>
          <cell r="I86">
            <v>37863</v>
          </cell>
          <cell r="J86">
            <v>35595</v>
          </cell>
          <cell r="L86">
            <v>28834</v>
          </cell>
          <cell r="M86">
            <v>33085</v>
          </cell>
          <cell r="O86">
            <v>4235</v>
          </cell>
          <cell r="P86">
            <v>4507</v>
          </cell>
        </row>
        <row r="87">
          <cell r="C87" t="str">
            <v>Bay</v>
          </cell>
          <cell r="F87">
            <v>14281</v>
          </cell>
          <cell r="G87">
            <v>13220</v>
          </cell>
          <cell r="I87">
            <v>29698</v>
          </cell>
          <cell r="J87">
            <v>27920</v>
          </cell>
          <cell r="L87">
            <v>22617</v>
          </cell>
          <cell r="M87">
            <v>25951</v>
          </cell>
          <cell r="O87">
            <v>3322</v>
          </cell>
          <cell r="P87">
            <v>3534</v>
          </cell>
        </row>
        <row r="88">
          <cell r="C88" t="str">
            <v>Lower Shabelle</v>
          </cell>
          <cell r="F88">
            <v>58474</v>
          </cell>
          <cell r="G88">
            <v>54132</v>
          </cell>
          <cell r="I88">
            <v>121603</v>
          </cell>
          <cell r="J88">
            <v>114321</v>
          </cell>
          <cell r="L88">
            <v>92608</v>
          </cell>
          <cell r="M88">
            <v>106259</v>
          </cell>
          <cell r="O88">
            <v>13605</v>
          </cell>
          <cell r="P88">
            <v>14474</v>
          </cell>
        </row>
        <row r="89">
          <cell r="C89" t="str">
            <v>Lower Shabelle</v>
          </cell>
          <cell r="F89">
            <v>6783</v>
          </cell>
          <cell r="G89">
            <v>6279</v>
          </cell>
          <cell r="I89">
            <v>14105</v>
          </cell>
          <cell r="J89">
            <v>13261</v>
          </cell>
          <cell r="L89">
            <v>10742</v>
          </cell>
          <cell r="M89">
            <v>12325</v>
          </cell>
          <cell r="O89">
            <v>1578</v>
          </cell>
          <cell r="P89">
            <v>1679</v>
          </cell>
        </row>
        <row r="90">
          <cell r="C90" t="str">
            <v>Lower Shabelle</v>
          </cell>
          <cell r="F90">
            <v>7983</v>
          </cell>
          <cell r="G90">
            <v>7390</v>
          </cell>
          <cell r="I90">
            <v>16601</v>
          </cell>
          <cell r="J90">
            <v>15607</v>
          </cell>
          <cell r="L90">
            <v>12643</v>
          </cell>
          <cell r="M90">
            <v>14507</v>
          </cell>
          <cell r="O90">
            <v>1858</v>
          </cell>
          <cell r="P90">
            <v>1976</v>
          </cell>
        </row>
        <row r="91">
          <cell r="C91" t="str">
            <v>Lower Shabelle</v>
          </cell>
          <cell r="F91">
            <v>30595</v>
          </cell>
          <cell r="G91">
            <v>28323</v>
          </cell>
          <cell r="I91">
            <v>63627</v>
          </cell>
          <cell r="J91">
            <v>59816</v>
          </cell>
          <cell r="L91">
            <v>48455</v>
          </cell>
          <cell r="M91">
            <v>55598</v>
          </cell>
          <cell r="O91">
            <v>7119</v>
          </cell>
          <cell r="P91">
            <v>7573</v>
          </cell>
        </row>
        <row r="92">
          <cell r="C92" t="str">
            <v>Lower Shabelle</v>
          </cell>
          <cell r="F92">
            <v>15670</v>
          </cell>
          <cell r="G92">
            <v>14506</v>
          </cell>
          <cell r="I92">
            <v>32587</v>
          </cell>
          <cell r="J92">
            <v>30635</v>
          </cell>
          <cell r="L92">
            <v>24816</v>
          </cell>
          <cell r="M92">
            <v>28476</v>
          </cell>
          <cell r="O92">
            <v>3646</v>
          </cell>
          <cell r="P92">
            <v>3879</v>
          </cell>
        </row>
        <row r="93">
          <cell r="C93" t="str">
            <v>Lower Shabelle</v>
          </cell>
          <cell r="F93">
            <v>7838</v>
          </cell>
          <cell r="G93">
            <v>7256</v>
          </cell>
          <cell r="I93">
            <v>16299</v>
          </cell>
          <cell r="J93">
            <v>15323</v>
          </cell>
          <cell r="L93">
            <v>12413</v>
          </cell>
          <cell r="M93">
            <v>14242</v>
          </cell>
          <cell r="O93">
            <v>1823</v>
          </cell>
          <cell r="P93">
            <v>1941</v>
          </cell>
        </row>
        <row r="94">
          <cell r="C94" t="str">
            <v>Lower Shabelle</v>
          </cell>
          <cell r="F94">
            <v>39568</v>
          </cell>
          <cell r="G94">
            <v>36630</v>
          </cell>
          <cell r="I94">
            <v>82288</v>
          </cell>
          <cell r="J94">
            <v>77360</v>
          </cell>
          <cell r="L94">
            <v>62667</v>
          </cell>
          <cell r="M94">
            <v>71903</v>
          </cell>
          <cell r="O94">
            <v>9207</v>
          </cell>
          <cell r="P94">
            <v>9795</v>
          </cell>
        </row>
      </sheetData>
      <sheetData sheetId="8">
        <row r="3">
          <cell r="A3" t="str">
            <v>S/N</v>
          </cell>
          <cell r="C3" t="str">
            <v>Region</v>
          </cell>
          <cell r="P3" t="str">
            <v>Male Total</v>
          </cell>
          <cell r="Q3" t="str">
            <v>Female Total</v>
          </cell>
          <cell r="R3" t="str">
            <v>Total</v>
          </cell>
        </row>
        <row r="4">
          <cell r="A4">
            <v>1</v>
          </cell>
          <cell r="C4" t="str">
            <v>Banadir</v>
          </cell>
          <cell r="P4">
            <v>1621247</v>
          </cell>
          <cell r="Q4">
            <v>1640882</v>
          </cell>
        </row>
        <row r="5">
          <cell r="A5">
            <v>2</v>
          </cell>
          <cell r="C5" t="str">
            <v>Galgaduud</v>
          </cell>
          <cell r="P5">
            <v>416434</v>
          </cell>
          <cell r="Q5">
            <v>421482</v>
          </cell>
        </row>
        <row r="6">
          <cell r="A6">
            <v>3</v>
          </cell>
          <cell r="C6" t="str">
            <v>Mudug</v>
          </cell>
          <cell r="P6">
            <v>754756</v>
          </cell>
          <cell r="Q6">
            <v>761279</v>
          </cell>
        </row>
        <row r="7">
          <cell r="A7">
            <v>4</v>
          </cell>
          <cell r="C7" t="str">
            <v>Hiraan</v>
          </cell>
          <cell r="P7">
            <v>259214</v>
          </cell>
          <cell r="Q7">
            <v>261303</v>
          </cell>
        </row>
        <row r="8">
          <cell r="A8">
            <v>5</v>
          </cell>
          <cell r="C8" t="str">
            <v>Middle Shabelle</v>
          </cell>
          <cell r="P8">
            <v>520339</v>
          </cell>
          <cell r="Q8">
            <v>524533</v>
          </cell>
        </row>
        <row r="9">
          <cell r="A9">
            <v>6</v>
          </cell>
          <cell r="C9" t="str">
            <v>Gedo</v>
          </cell>
          <cell r="P9">
            <v>501194</v>
          </cell>
          <cell r="Q9">
            <v>504730</v>
          </cell>
        </row>
        <row r="10">
          <cell r="A10">
            <v>7</v>
          </cell>
          <cell r="C10" t="str">
            <v>Lower Juba</v>
          </cell>
          <cell r="P10">
            <v>595039</v>
          </cell>
          <cell r="Q10">
            <v>599237</v>
          </cell>
        </row>
        <row r="11">
          <cell r="A11">
            <v>8</v>
          </cell>
          <cell r="C11" t="str">
            <v>Middle Juba</v>
          </cell>
          <cell r="P11">
            <v>220973</v>
          </cell>
          <cell r="Q11">
            <v>222534</v>
          </cell>
        </row>
        <row r="12">
          <cell r="A12">
            <v>9</v>
          </cell>
          <cell r="C12" t="str">
            <v>Bari</v>
          </cell>
          <cell r="P12">
            <v>633367</v>
          </cell>
          <cell r="Q12">
            <v>637185</v>
          </cell>
        </row>
        <row r="13">
          <cell r="A13">
            <v>11</v>
          </cell>
          <cell r="C13" t="str">
            <v>Nugaal</v>
          </cell>
          <cell r="P13">
            <v>324753</v>
          </cell>
          <cell r="Q13">
            <v>326711</v>
          </cell>
        </row>
        <row r="14">
          <cell r="A14">
            <v>12</v>
          </cell>
          <cell r="C14" t="str">
            <v>Awdal</v>
          </cell>
          <cell r="P14">
            <v>326298</v>
          </cell>
          <cell r="Q14">
            <v>329596</v>
          </cell>
        </row>
        <row r="15">
          <cell r="A15">
            <v>13</v>
          </cell>
          <cell r="C15" t="str">
            <v>Sanaag</v>
          </cell>
          <cell r="P15">
            <v>219906</v>
          </cell>
          <cell r="Q15">
            <v>222128</v>
          </cell>
        </row>
        <row r="16">
          <cell r="A16">
            <v>14</v>
          </cell>
          <cell r="C16" t="str">
            <v>Sool</v>
          </cell>
          <cell r="P16">
            <v>281603</v>
          </cell>
          <cell r="Q16">
            <v>284450</v>
          </cell>
        </row>
        <row r="17">
          <cell r="A17">
            <v>15</v>
          </cell>
          <cell r="C17" t="str">
            <v>Togdheer</v>
          </cell>
          <cell r="P17">
            <v>441492</v>
          </cell>
          <cell r="Q17">
            <v>445958</v>
          </cell>
        </row>
        <row r="18">
          <cell r="A18">
            <v>16</v>
          </cell>
          <cell r="C18" t="str">
            <v>Woqooyi Galbeed</v>
          </cell>
          <cell r="P18">
            <v>742501</v>
          </cell>
          <cell r="Q18">
            <v>750005</v>
          </cell>
        </row>
        <row r="19">
          <cell r="A19">
            <v>17</v>
          </cell>
          <cell r="C19" t="str">
            <v>Bakool</v>
          </cell>
          <cell r="P19">
            <v>278725</v>
          </cell>
          <cell r="Q19">
            <v>281542</v>
          </cell>
        </row>
        <row r="20">
          <cell r="A20">
            <v>18</v>
          </cell>
          <cell r="C20" t="str">
            <v>Bay</v>
          </cell>
          <cell r="P20">
            <v>640157</v>
          </cell>
          <cell r="Q20">
            <v>646630</v>
          </cell>
        </row>
        <row r="21">
          <cell r="A21">
            <v>19</v>
          </cell>
          <cell r="C21" t="str">
            <v>Lower Shabelle</v>
          </cell>
          <cell r="P21">
            <v>817201</v>
          </cell>
          <cell r="Q21">
            <v>825466</v>
          </cell>
        </row>
      </sheetData>
      <sheetData sheetId="9">
        <row r="4">
          <cell r="O4">
            <v>1621247</v>
          </cell>
          <cell r="P4">
            <v>1640882</v>
          </cell>
        </row>
        <row r="5">
          <cell r="O5">
            <v>1171190</v>
          </cell>
          <cell r="P5">
            <v>1182761</v>
          </cell>
        </row>
        <row r="6">
          <cell r="O6">
            <v>779553</v>
          </cell>
          <cell r="P6">
            <v>785836</v>
          </cell>
        </row>
        <row r="7">
          <cell r="O7">
            <v>1317206</v>
          </cell>
          <cell r="P7">
            <v>1326501</v>
          </cell>
        </row>
        <row r="8">
          <cell r="O8">
            <v>958120</v>
          </cell>
          <cell r="P8">
            <v>963896</v>
          </cell>
        </row>
        <row r="9">
          <cell r="O9">
            <v>2011800</v>
          </cell>
          <cell r="P9">
            <v>2032137</v>
          </cell>
        </row>
        <row r="10">
          <cell r="O10">
            <v>1736083</v>
          </cell>
          <cell r="P10">
            <v>1753638</v>
          </cell>
        </row>
        <row r="11">
          <cell r="C11">
            <v>2026601</v>
          </cell>
          <cell r="D11">
            <v>1871270</v>
          </cell>
          <cell r="E11">
            <v>3897871</v>
          </cell>
          <cell r="F11">
            <v>4078224</v>
          </cell>
          <cell r="G11">
            <v>3873240</v>
          </cell>
          <cell r="H11">
            <v>7951464</v>
          </cell>
          <cell r="I11">
            <v>3049246</v>
          </cell>
          <cell r="J11">
            <v>3475252</v>
          </cell>
          <cell r="K11">
            <v>6524498</v>
          </cell>
          <cell r="L11">
            <v>441128</v>
          </cell>
          <cell r="M11">
            <v>465889</v>
          </cell>
          <cell r="N11">
            <v>907017</v>
          </cell>
          <cell r="O11">
            <v>9595199</v>
          </cell>
          <cell r="P11">
            <v>9685651</v>
          </cell>
          <cell r="Q11">
            <v>19280850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2E71-E602-40B1-9B8E-30AA66C2E56A}">
  <dimension ref="A1:T96"/>
  <sheetViews>
    <sheetView tabSelected="1" workbookViewId="0">
      <selection activeCell="D2" sqref="D2"/>
    </sheetView>
  </sheetViews>
  <sheetFormatPr defaultRowHeight="14.35" x14ac:dyDescent="0.5"/>
  <cols>
    <col min="1" max="1" width="4" bestFit="1" customWidth="1"/>
    <col min="2" max="2" width="10.87890625" hidden="1" customWidth="1"/>
    <col min="3" max="3" width="15.1171875" bestFit="1" customWidth="1"/>
    <col min="4" max="4" width="14.64453125" bestFit="1" customWidth="1"/>
    <col min="5" max="20" width="10.76171875" customWidth="1"/>
  </cols>
  <sheetData>
    <row r="1" spans="1:20" ht="20.7" x14ac:dyDescent="0.7">
      <c r="C1" s="1" t="s">
        <v>0</v>
      </c>
    </row>
    <row r="2" spans="1:20" ht="14.7" thickBot="1" x14ac:dyDescent="0.55000000000000004"/>
    <row r="3" spans="1:20" ht="29" thickTop="1" x14ac:dyDescent="0.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5" t="s">
        <v>10</v>
      </c>
      <c r="K3" s="5" t="s">
        <v>11</v>
      </c>
      <c r="L3" s="4" t="s">
        <v>12</v>
      </c>
      <c r="M3" s="4" t="s">
        <v>13</v>
      </c>
      <c r="N3" s="4" t="s">
        <v>14</v>
      </c>
      <c r="O3" s="5" t="s">
        <v>15</v>
      </c>
      <c r="P3" s="5" t="s">
        <v>16</v>
      </c>
      <c r="Q3" s="5" t="s">
        <v>17</v>
      </c>
      <c r="R3" s="6" t="s">
        <v>18</v>
      </c>
      <c r="S3" s="6" t="s">
        <v>19</v>
      </c>
      <c r="T3" s="7" t="s">
        <v>20</v>
      </c>
    </row>
    <row r="4" spans="1:20" x14ac:dyDescent="0.5">
      <c r="A4" s="8">
        <v>1</v>
      </c>
      <c r="B4" s="9" t="str">
        <f>'[1]HPC AG N'!D4</f>
        <v xml:space="preserve">Banadir  </v>
      </c>
      <c r="C4" s="9" t="str">
        <f>'[1]HPC AG N'!E4</f>
        <v>Banadir</v>
      </c>
      <c r="D4" s="9" t="str">
        <f>'[1]HPC AG N'!F4</f>
        <v>Bondhere</v>
      </c>
      <c r="E4" s="9" t="str">
        <f>'[1]HPC AG N'!G4</f>
        <v>SO2202</v>
      </c>
      <c r="F4" s="10">
        <f>ROUND('[1]HPC AG N'!J4,0)</f>
        <v>6452</v>
      </c>
      <c r="G4" s="10">
        <f>ROUND('[1]HPC AG N'!K4,0)</f>
        <v>5972</v>
      </c>
      <c r="H4" s="11">
        <f>G4+F4</f>
        <v>12424</v>
      </c>
      <c r="I4" s="12">
        <f>ROUND('[1]HPC AG N'!L4,0)</f>
        <v>14431</v>
      </c>
      <c r="J4" s="12">
        <f>ROUND('[1]HPC AG N'!M4,0)</f>
        <v>14066</v>
      </c>
      <c r="K4" s="13">
        <f>J4+I4</f>
        <v>28497</v>
      </c>
      <c r="L4" s="10">
        <f>ROUND('[1]HPC AG N'!N4,0)</f>
        <v>11516</v>
      </c>
      <c r="M4" s="10">
        <f>ROUND('[1]HPC AG N'!O4,0)</f>
        <v>12772</v>
      </c>
      <c r="N4" s="11">
        <f>M4+L4</f>
        <v>24288</v>
      </c>
      <c r="O4" s="12">
        <f>ROUND('[1]HPC AG N'!P4,0)</f>
        <v>1613</v>
      </c>
      <c r="P4" s="12">
        <f>ROUND('[1]HPC AG N'!Q4,0)</f>
        <v>1613</v>
      </c>
      <c r="Q4" s="13">
        <f>P4+O4</f>
        <v>3226</v>
      </c>
      <c r="R4" s="14">
        <f>F4+I4+L4+O4</f>
        <v>34012</v>
      </c>
      <c r="S4" s="14">
        <f>G4+J4+M4+P4</f>
        <v>34423</v>
      </c>
      <c r="T4" s="15">
        <f>S4+R4</f>
        <v>68435</v>
      </c>
    </row>
    <row r="5" spans="1:20" x14ac:dyDescent="0.5">
      <c r="A5" s="8">
        <v>2</v>
      </c>
      <c r="B5" s="9" t="str">
        <f>'[1]HPC AG N'!D5</f>
        <v xml:space="preserve">Banadir  </v>
      </c>
      <c r="C5" s="9" t="str">
        <f>'[1]HPC AG N'!E5</f>
        <v>Banadir</v>
      </c>
      <c r="D5" s="9" t="str">
        <f>'[1]HPC AG N'!F5</f>
        <v>Cabdulasis</v>
      </c>
      <c r="E5" s="9" t="str">
        <f>'[1]HPC AG N'!G5</f>
        <v>SO2201</v>
      </c>
      <c r="F5" s="10">
        <f>ROUND('[1]HPC AG N'!J5,0)</f>
        <v>1512</v>
      </c>
      <c r="G5" s="10">
        <f>ROUND('[1]HPC AG N'!K5,0)</f>
        <v>1400</v>
      </c>
      <c r="H5" s="11">
        <f t="shared" ref="H5:H68" si="0">G5+F5</f>
        <v>2912</v>
      </c>
      <c r="I5" s="12">
        <f>ROUND('[1]HPC AG N'!L5,0)</f>
        <v>3382</v>
      </c>
      <c r="J5" s="12">
        <f>ROUND('[1]HPC AG N'!M5,0)</f>
        <v>3297</v>
      </c>
      <c r="K5" s="13">
        <f t="shared" ref="K5:K68" si="1">J5+I5</f>
        <v>6679</v>
      </c>
      <c r="L5" s="10">
        <f>ROUND('[1]HPC AG N'!N5,0)</f>
        <v>2699</v>
      </c>
      <c r="M5" s="10">
        <f>ROUND('[1]HPC AG N'!O5,0)</f>
        <v>2994</v>
      </c>
      <c r="N5" s="11">
        <f t="shared" ref="N5:N68" si="2">M5+L5</f>
        <v>5693</v>
      </c>
      <c r="O5" s="12">
        <f>ROUND('[1]HPC AG N'!P5,0)</f>
        <v>377</v>
      </c>
      <c r="P5" s="12">
        <f>ROUND('[1]HPC AG N'!Q5,0)</f>
        <v>378</v>
      </c>
      <c r="Q5" s="13">
        <f t="shared" ref="Q5:Q68" si="3">P5+O5</f>
        <v>755</v>
      </c>
      <c r="R5" s="14">
        <f t="shared" ref="R5:S68" si="4">F5+I5+L5+O5</f>
        <v>7970</v>
      </c>
      <c r="S5" s="14">
        <f t="shared" si="4"/>
        <v>8069</v>
      </c>
      <c r="T5" s="15">
        <f t="shared" ref="T5:T68" si="5">S5+R5</f>
        <v>16039</v>
      </c>
    </row>
    <row r="6" spans="1:20" x14ac:dyDescent="0.5">
      <c r="A6" s="8">
        <v>3</v>
      </c>
      <c r="B6" s="9" t="str">
        <f>'[1]HPC AG N'!D6</f>
        <v xml:space="preserve">Banadir  </v>
      </c>
      <c r="C6" s="9" t="str">
        <f>'[1]HPC AG N'!E6</f>
        <v>Banadir</v>
      </c>
      <c r="D6" s="9" t="str">
        <f>'[1]HPC AG N'!F6</f>
        <v>Daynile</v>
      </c>
      <c r="E6" s="9" t="str">
        <f>'[1]HPC AG N'!G6</f>
        <v>SO2203</v>
      </c>
      <c r="F6" s="10">
        <f>ROUND('[1]HPC AG N'!J6,0)</f>
        <v>68635</v>
      </c>
      <c r="G6" s="10">
        <f>ROUND('[1]HPC AG N'!K6,0)</f>
        <v>63524</v>
      </c>
      <c r="H6" s="11">
        <f t="shared" si="0"/>
        <v>132159</v>
      </c>
      <c r="I6" s="12">
        <f>ROUND('[1]HPC AG N'!L6,0)</f>
        <v>153499</v>
      </c>
      <c r="J6" s="12">
        <f>ROUND('[1]HPC AG N'!M6,0)</f>
        <v>149623</v>
      </c>
      <c r="K6" s="13">
        <f t="shared" si="1"/>
        <v>303122</v>
      </c>
      <c r="L6" s="10">
        <f>ROUND('[1]HPC AG N'!N6,0)</f>
        <v>122500</v>
      </c>
      <c r="M6" s="10">
        <f>ROUND('[1]HPC AG N'!O6,0)</f>
        <v>135869</v>
      </c>
      <c r="N6" s="11">
        <f t="shared" si="2"/>
        <v>258369</v>
      </c>
      <c r="O6" s="12">
        <f>ROUND('[1]HPC AG N'!P6,0)</f>
        <v>17159</v>
      </c>
      <c r="P6" s="12">
        <f>ROUND('[1]HPC AG N'!Q6,0)</f>
        <v>17158</v>
      </c>
      <c r="Q6" s="13">
        <f t="shared" si="3"/>
        <v>34317</v>
      </c>
      <c r="R6" s="14">
        <f t="shared" si="4"/>
        <v>361793</v>
      </c>
      <c r="S6" s="14">
        <f t="shared" si="4"/>
        <v>366174</v>
      </c>
      <c r="T6" s="15">
        <f t="shared" si="5"/>
        <v>727967</v>
      </c>
    </row>
    <row r="7" spans="1:20" x14ac:dyDescent="0.5">
      <c r="A7" s="8">
        <v>4</v>
      </c>
      <c r="B7" s="9" t="str">
        <f>'[1]HPC AG N'!D7</f>
        <v xml:space="preserve">Banadir  </v>
      </c>
      <c r="C7" s="9" t="str">
        <f>'[1]HPC AG N'!E7</f>
        <v>Banadir</v>
      </c>
      <c r="D7" s="9" t="str">
        <f>'[1]HPC AG N'!F7</f>
        <v>Dharkenley</v>
      </c>
      <c r="E7" s="9" t="str">
        <f>'[1]HPC AG N'!G7</f>
        <v>SO2204</v>
      </c>
      <c r="F7" s="10">
        <f>ROUND('[1]HPC AG N'!J7,0)</f>
        <v>10480</v>
      </c>
      <c r="G7" s="10">
        <f>ROUND('[1]HPC AG N'!K7,0)</f>
        <v>9700</v>
      </c>
      <c r="H7" s="11">
        <f t="shared" si="0"/>
        <v>20180</v>
      </c>
      <c r="I7" s="12">
        <f>ROUND('[1]HPC AG N'!L7,0)</f>
        <v>23438</v>
      </c>
      <c r="J7" s="12">
        <f>ROUND('[1]HPC AG N'!M7,0)</f>
        <v>22847</v>
      </c>
      <c r="K7" s="13">
        <f t="shared" si="1"/>
        <v>46285</v>
      </c>
      <c r="L7" s="10">
        <f>ROUND('[1]HPC AG N'!N7,0)</f>
        <v>18704</v>
      </c>
      <c r="M7" s="10">
        <f>ROUND('[1]HPC AG N'!O7,0)</f>
        <v>20745</v>
      </c>
      <c r="N7" s="11">
        <f t="shared" si="2"/>
        <v>39449</v>
      </c>
      <c r="O7" s="12">
        <f>ROUND('[1]HPC AG N'!P7,0)</f>
        <v>2619</v>
      </c>
      <c r="P7" s="12">
        <f>ROUND('[1]HPC AG N'!Q7,0)</f>
        <v>2620</v>
      </c>
      <c r="Q7" s="13">
        <f t="shared" si="3"/>
        <v>5239</v>
      </c>
      <c r="R7" s="14">
        <f t="shared" si="4"/>
        <v>55241</v>
      </c>
      <c r="S7" s="14">
        <f t="shared" si="4"/>
        <v>55912</v>
      </c>
      <c r="T7" s="15">
        <f t="shared" si="5"/>
        <v>111153</v>
      </c>
    </row>
    <row r="8" spans="1:20" x14ac:dyDescent="0.5">
      <c r="A8" s="8">
        <v>5</v>
      </c>
      <c r="B8" s="9" t="str">
        <f>'[1]HPC AG N'!D8</f>
        <v xml:space="preserve">Banadir  </v>
      </c>
      <c r="C8" s="9" t="str">
        <f>'[1]HPC AG N'!E8</f>
        <v>Banadir</v>
      </c>
      <c r="D8" s="9" t="str">
        <f>'[1]HPC AG N'!F8</f>
        <v>Hamar Jabjab</v>
      </c>
      <c r="E8" s="9" t="str">
        <f>'[1]HPC AG N'!G8</f>
        <v>SO2205</v>
      </c>
      <c r="F8" s="10">
        <f>ROUND('[1]HPC AG N'!J8,0)</f>
        <v>4540</v>
      </c>
      <c r="G8" s="10">
        <f>ROUND('[1]HPC AG N'!K8,0)</f>
        <v>4202</v>
      </c>
      <c r="H8" s="11">
        <f t="shared" si="0"/>
        <v>8742</v>
      </c>
      <c r="I8" s="12">
        <f>ROUND('[1]HPC AG N'!L8,0)</f>
        <v>10153</v>
      </c>
      <c r="J8" s="12">
        <f>ROUND('[1]HPC AG N'!M8,0)</f>
        <v>9897</v>
      </c>
      <c r="K8" s="13">
        <f t="shared" si="1"/>
        <v>20050</v>
      </c>
      <c r="L8" s="10">
        <f>ROUND('[1]HPC AG N'!N8,0)</f>
        <v>8102</v>
      </c>
      <c r="M8" s="10">
        <f>ROUND('[1]HPC AG N'!O8,0)</f>
        <v>8985</v>
      </c>
      <c r="N8" s="11">
        <f t="shared" si="2"/>
        <v>17087</v>
      </c>
      <c r="O8" s="12">
        <f>ROUND('[1]HPC AG N'!P8,0)</f>
        <v>1134</v>
      </c>
      <c r="P8" s="12">
        <f>ROUND('[1]HPC AG N'!Q8,0)</f>
        <v>1135</v>
      </c>
      <c r="Q8" s="13">
        <f t="shared" si="3"/>
        <v>2269</v>
      </c>
      <c r="R8" s="14">
        <f t="shared" si="4"/>
        <v>23929</v>
      </c>
      <c r="S8" s="14">
        <f t="shared" si="4"/>
        <v>24219</v>
      </c>
      <c r="T8" s="15">
        <f t="shared" si="5"/>
        <v>48148</v>
      </c>
    </row>
    <row r="9" spans="1:20" x14ac:dyDescent="0.5">
      <c r="A9" s="8">
        <v>6</v>
      </c>
      <c r="B9" s="9" t="str">
        <f>'[1]HPC AG N'!D9</f>
        <v xml:space="preserve">Banadir  </v>
      </c>
      <c r="C9" s="9" t="str">
        <f>'[1]HPC AG N'!E9</f>
        <v>Banadir</v>
      </c>
      <c r="D9" s="9" t="str">
        <f>'[1]HPC AG N'!F9</f>
        <v>Hamar Weyne</v>
      </c>
      <c r="E9" s="9" t="str">
        <f>'[1]HPC AG N'!G9</f>
        <v>SO2206</v>
      </c>
      <c r="F9" s="10">
        <f>ROUND('[1]HPC AG N'!J9,0)</f>
        <v>6809</v>
      </c>
      <c r="G9" s="10">
        <f>ROUND('[1]HPC AG N'!K9,0)</f>
        <v>6302</v>
      </c>
      <c r="H9" s="11">
        <f t="shared" si="0"/>
        <v>13111</v>
      </c>
      <c r="I9" s="12">
        <f>ROUND('[1]HPC AG N'!L9,0)</f>
        <v>15228</v>
      </c>
      <c r="J9" s="12">
        <f>ROUND('[1]HPC AG N'!M9,0)</f>
        <v>14844</v>
      </c>
      <c r="K9" s="13">
        <f t="shared" si="1"/>
        <v>30072</v>
      </c>
      <c r="L9" s="10">
        <f>ROUND('[1]HPC AG N'!N9,0)</f>
        <v>12155</v>
      </c>
      <c r="M9" s="10">
        <f>ROUND('[1]HPC AG N'!O9,0)</f>
        <v>13479</v>
      </c>
      <c r="N9" s="11">
        <f t="shared" si="2"/>
        <v>25634</v>
      </c>
      <c r="O9" s="12">
        <f>ROUND('[1]HPC AG N'!P9,0)</f>
        <v>1703</v>
      </c>
      <c r="P9" s="12">
        <f>ROUND('[1]HPC AG N'!Q9,0)</f>
        <v>1703</v>
      </c>
      <c r="Q9" s="13">
        <f t="shared" si="3"/>
        <v>3406</v>
      </c>
      <c r="R9" s="14">
        <f t="shared" si="4"/>
        <v>35895</v>
      </c>
      <c r="S9" s="14">
        <f t="shared" si="4"/>
        <v>36328</v>
      </c>
      <c r="T9" s="15">
        <f t="shared" si="5"/>
        <v>72223</v>
      </c>
    </row>
    <row r="10" spans="1:20" x14ac:dyDescent="0.5">
      <c r="A10" s="8">
        <v>7</v>
      </c>
      <c r="B10" s="9" t="str">
        <f>'[1]HPC AG N'!D10</f>
        <v xml:space="preserve">Banadir  </v>
      </c>
      <c r="C10" s="9" t="str">
        <f>'[1]HPC AG N'!E10</f>
        <v>Banadir</v>
      </c>
      <c r="D10" s="9" t="str">
        <f>'[1]HPC AG N'!F10</f>
        <v>Hawl Wadaag</v>
      </c>
      <c r="E10" s="9" t="str">
        <f>'[1]HPC AG N'!G10</f>
        <v>SO2207</v>
      </c>
      <c r="F10" s="10">
        <f>ROUND('[1]HPC AG N'!J10,0)</f>
        <v>11118</v>
      </c>
      <c r="G10" s="10">
        <f>ROUND('[1]HPC AG N'!K10,0)</f>
        <v>10290</v>
      </c>
      <c r="H10" s="11">
        <f t="shared" si="0"/>
        <v>21408</v>
      </c>
      <c r="I10" s="12">
        <f>ROUND('[1]HPC AG N'!L10,0)</f>
        <v>24864</v>
      </c>
      <c r="J10" s="12">
        <f>ROUND('[1]HPC AG N'!M10,0)</f>
        <v>24237</v>
      </c>
      <c r="K10" s="13">
        <f t="shared" si="1"/>
        <v>49101</v>
      </c>
      <c r="L10" s="10">
        <f>ROUND('[1]HPC AG N'!N10,0)</f>
        <v>19844</v>
      </c>
      <c r="M10" s="10">
        <f>ROUND('[1]HPC AG N'!O10,0)</f>
        <v>22010</v>
      </c>
      <c r="N10" s="11">
        <f t="shared" si="2"/>
        <v>41854</v>
      </c>
      <c r="O10" s="12">
        <f>ROUND('[1]HPC AG N'!P10,0)</f>
        <v>2779</v>
      </c>
      <c r="P10" s="12">
        <f>ROUND('[1]HPC AG N'!Q10,0)</f>
        <v>2779</v>
      </c>
      <c r="Q10" s="13">
        <f t="shared" si="3"/>
        <v>5558</v>
      </c>
      <c r="R10" s="14">
        <f t="shared" si="4"/>
        <v>58605</v>
      </c>
      <c r="S10" s="14">
        <f t="shared" si="4"/>
        <v>59316</v>
      </c>
      <c r="T10" s="15">
        <f t="shared" si="5"/>
        <v>117921</v>
      </c>
    </row>
    <row r="11" spans="1:20" x14ac:dyDescent="0.5">
      <c r="A11" s="8">
        <v>8</v>
      </c>
      <c r="B11" s="9" t="str">
        <f>'[1]HPC AG N'!D11</f>
        <v xml:space="preserve">Banadir  </v>
      </c>
      <c r="C11" s="9" t="str">
        <f>'[1]HPC AG N'!E11</f>
        <v>Banadir</v>
      </c>
      <c r="D11" s="9" t="str">
        <f>'[1]HPC AG N'!F11</f>
        <v>Heliwa</v>
      </c>
      <c r="E11" s="9" t="str">
        <f>'[1]HPC AG N'!G11</f>
        <v>SO2209</v>
      </c>
      <c r="F11" s="10">
        <f>ROUND('[1]HPC AG N'!J11,0)</f>
        <v>34495</v>
      </c>
      <c r="G11" s="10">
        <f>ROUND('[1]HPC AG N'!K11,0)</f>
        <v>31926</v>
      </c>
      <c r="H11" s="11">
        <f t="shared" si="0"/>
        <v>66421</v>
      </c>
      <c r="I11" s="12">
        <f>ROUND('[1]HPC AG N'!L11,0)</f>
        <v>77147</v>
      </c>
      <c r="J11" s="12">
        <f>ROUND('[1]HPC AG N'!M11,0)</f>
        <v>75199</v>
      </c>
      <c r="K11" s="13">
        <f t="shared" si="1"/>
        <v>152346</v>
      </c>
      <c r="L11" s="10">
        <f>ROUND('[1]HPC AG N'!N11,0)</f>
        <v>61569</v>
      </c>
      <c r="M11" s="10">
        <f>ROUND('[1]HPC AG N'!O11,0)</f>
        <v>68285</v>
      </c>
      <c r="N11" s="11">
        <f t="shared" si="2"/>
        <v>129854</v>
      </c>
      <c r="O11" s="12">
        <f>ROUND('[1]HPC AG N'!P11,0)</f>
        <v>8623</v>
      </c>
      <c r="P11" s="12">
        <f>ROUND('[1]HPC AG N'!Q11,0)</f>
        <v>8623</v>
      </c>
      <c r="Q11" s="13">
        <f t="shared" si="3"/>
        <v>17246</v>
      </c>
      <c r="R11" s="14">
        <f t="shared" si="4"/>
        <v>181834</v>
      </c>
      <c r="S11" s="14">
        <f t="shared" si="4"/>
        <v>184033</v>
      </c>
      <c r="T11" s="15">
        <f t="shared" si="5"/>
        <v>365867</v>
      </c>
    </row>
    <row r="12" spans="1:20" x14ac:dyDescent="0.5">
      <c r="A12" s="8">
        <v>9</v>
      </c>
      <c r="B12" s="9" t="str">
        <f>'[1]HPC AG N'!D12</f>
        <v xml:space="preserve">Banadir  </v>
      </c>
      <c r="C12" s="9" t="str">
        <f>'[1]HPC AG N'!E12</f>
        <v>Banadir</v>
      </c>
      <c r="D12" s="9" t="str">
        <f>'[1]HPC AG N'!F12</f>
        <v>Hodan</v>
      </c>
      <c r="E12" s="9" t="str">
        <f>'[1]HPC AG N'!G12</f>
        <v>SO2208</v>
      </c>
      <c r="F12" s="10">
        <f>ROUND('[1]HPC AG N'!J12,0)</f>
        <v>10375</v>
      </c>
      <c r="G12" s="10">
        <f>ROUND('[1]HPC AG N'!K12,0)</f>
        <v>9602</v>
      </c>
      <c r="H12" s="11">
        <f t="shared" si="0"/>
        <v>19977</v>
      </c>
      <c r="I12" s="12">
        <f>ROUND('[1]HPC AG N'!L12,0)</f>
        <v>23202</v>
      </c>
      <c r="J12" s="12">
        <f>ROUND('[1]HPC AG N'!M12,0)</f>
        <v>22617</v>
      </c>
      <c r="K12" s="13">
        <f t="shared" si="1"/>
        <v>45819</v>
      </c>
      <c r="L12" s="10">
        <f>ROUND('[1]HPC AG N'!N12,0)</f>
        <v>18519</v>
      </c>
      <c r="M12" s="10">
        <f>ROUND('[1]HPC AG N'!O12,0)</f>
        <v>20537</v>
      </c>
      <c r="N12" s="11">
        <f t="shared" si="2"/>
        <v>39056</v>
      </c>
      <c r="O12" s="12">
        <f>ROUND('[1]HPC AG N'!P12,0)</f>
        <v>2594</v>
      </c>
      <c r="P12" s="12">
        <f>ROUND('[1]HPC AG N'!Q12,0)</f>
        <v>2594</v>
      </c>
      <c r="Q12" s="13">
        <f t="shared" si="3"/>
        <v>5188</v>
      </c>
      <c r="R12" s="14">
        <f t="shared" si="4"/>
        <v>54690</v>
      </c>
      <c r="S12" s="14">
        <f t="shared" si="4"/>
        <v>55350</v>
      </c>
      <c r="T12" s="15">
        <f t="shared" si="5"/>
        <v>110040</v>
      </c>
    </row>
    <row r="13" spans="1:20" x14ac:dyDescent="0.5">
      <c r="A13" s="8">
        <v>10</v>
      </c>
      <c r="B13" s="9" t="str">
        <f>'[1]HPC AG N'!D13</f>
        <v xml:space="preserve">Banadir  </v>
      </c>
      <c r="C13" s="9" t="str">
        <f>'[1]HPC AG N'!E13</f>
        <v>Banadir</v>
      </c>
      <c r="D13" s="9" t="str">
        <f>'[1]HPC AG N'!F13</f>
        <v>Kahda</v>
      </c>
      <c r="E13" s="9" t="str">
        <f>'[1]HPC AG N'!G13</f>
        <v>SO2210</v>
      </c>
      <c r="F13" s="10">
        <f>ROUND('[1]HPC AG N'!J13,0)</f>
        <v>47611</v>
      </c>
      <c r="G13" s="10">
        <f>ROUND('[1]HPC AG N'!K13,0)</f>
        <v>44066</v>
      </c>
      <c r="H13" s="11">
        <f t="shared" si="0"/>
        <v>91677</v>
      </c>
      <c r="I13" s="12">
        <f>ROUND('[1]HPC AG N'!L13,0)</f>
        <v>106480</v>
      </c>
      <c r="J13" s="12">
        <f>ROUND('[1]HPC AG N'!M13,0)</f>
        <v>103792</v>
      </c>
      <c r="K13" s="13">
        <f t="shared" si="1"/>
        <v>210272</v>
      </c>
      <c r="L13" s="10">
        <f>ROUND('[1]HPC AG N'!N13,0)</f>
        <v>84978</v>
      </c>
      <c r="M13" s="10">
        <f>ROUND('[1]HPC AG N'!O13,0)</f>
        <v>94252</v>
      </c>
      <c r="N13" s="11">
        <f t="shared" si="2"/>
        <v>179230</v>
      </c>
      <c r="O13" s="12">
        <f>ROUND('[1]HPC AG N'!P13,0)</f>
        <v>11904</v>
      </c>
      <c r="P13" s="12">
        <f>ROUND('[1]HPC AG N'!Q13,0)</f>
        <v>11903</v>
      </c>
      <c r="Q13" s="13">
        <f t="shared" si="3"/>
        <v>23807</v>
      </c>
      <c r="R13" s="14">
        <f t="shared" si="4"/>
        <v>250973</v>
      </c>
      <c r="S13" s="14">
        <f t="shared" si="4"/>
        <v>254013</v>
      </c>
      <c r="T13" s="15">
        <f t="shared" si="5"/>
        <v>504986</v>
      </c>
    </row>
    <row r="14" spans="1:20" x14ac:dyDescent="0.5">
      <c r="A14" s="8">
        <v>11</v>
      </c>
      <c r="B14" s="9" t="str">
        <f>'[1]HPC AG N'!D14</f>
        <v xml:space="preserve">Banadir  </v>
      </c>
      <c r="C14" s="9" t="str">
        <f>'[1]HPC AG N'!E14</f>
        <v>Banadir</v>
      </c>
      <c r="D14" s="9" t="str">
        <f>'[1]HPC AG N'!F14</f>
        <v>Karaan</v>
      </c>
      <c r="E14" s="9" t="str">
        <f>'[1]HPC AG N'!G14</f>
        <v>SO2211</v>
      </c>
      <c r="F14" s="10">
        <f>ROUND('[1]HPC AG N'!J14,0)</f>
        <v>12406</v>
      </c>
      <c r="G14" s="10">
        <f>ROUND('[1]HPC AG N'!K14,0)</f>
        <v>11482</v>
      </c>
      <c r="H14" s="11">
        <f t="shared" si="0"/>
        <v>23888</v>
      </c>
      <c r="I14" s="12">
        <f>ROUND('[1]HPC AG N'!L14,0)</f>
        <v>27745</v>
      </c>
      <c r="J14" s="12">
        <f>ROUND('[1]HPC AG N'!M14,0)</f>
        <v>27045</v>
      </c>
      <c r="K14" s="13">
        <f t="shared" si="1"/>
        <v>54790</v>
      </c>
      <c r="L14" s="10">
        <f>ROUND('[1]HPC AG N'!N14,0)</f>
        <v>22144</v>
      </c>
      <c r="M14" s="10">
        <f>ROUND('[1]HPC AG N'!O14,0)</f>
        <v>24560</v>
      </c>
      <c r="N14" s="11">
        <f t="shared" si="2"/>
        <v>46704</v>
      </c>
      <c r="O14" s="12">
        <f>ROUND('[1]HPC AG N'!P14,0)</f>
        <v>3102</v>
      </c>
      <c r="P14" s="12">
        <f>ROUND('[1]HPC AG N'!Q14,0)</f>
        <v>3102</v>
      </c>
      <c r="Q14" s="13">
        <f t="shared" si="3"/>
        <v>6204</v>
      </c>
      <c r="R14" s="14">
        <f t="shared" si="4"/>
        <v>65397</v>
      </c>
      <c r="S14" s="14">
        <f t="shared" si="4"/>
        <v>66189</v>
      </c>
      <c r="T14" s="15">
        <f t="shared" si="5"/>
        <v>131586</v>
      </c>
    </row>
    <row r="15" spans="1:20" x14ac:dyDescent="0.5">
      <c r="A15" s="8">
        <v>12</v>
      </c>
      <c r="B15" s="9" t="str">
        <f>'[1]HPC AG N'!D15</f>
        <v xml:space="preserve">Banadir  </v>
      </c>
      <c r="C15" s="9" t="str">
        <f>'[1]HPC AG N'!E15</f>
        <v>Banadir</v>
      </c>
      <c r="D15" s="9" t="str">
        <f>'[1]HPC AG N'!F15</f>
        <v>Shangaani</v>
      </c>
      <c r="E15" s="9" t="str">
        <f>'[1]HPC AG N'!G15</f>
        <v>SO2212</v>
      </c>
      <c r="F15" s="10">
        <f>ROUND('[1]HPC AG N'!J15,0)</f>
        <v>2579</v>
      </c>
      <c r="G15" s="10">
        <f>ROUND('[1]HPC AG N'!K15,0)</f>
        <v>2387</v>
      </c>
      <c r="H15" s="11">
        <f t="shared" si="0"/>
        <v>4966</v>
      </c>
      <c r="I15" s="12">
        <f>ROUND('[1]HPC AG N'!L15,0)</f>
        <v>5766</v>
      </c>
      <c r="J15" s="12">
        <f>ROUND('[1]HPC AG N'!M15,0)</f>
        <v>5621</v>
      </c>
      <c r="K15" s="13">
        <f t="shared" si="1"/>
        <v>11387</v>
      </c>
      <c r="L15" s="10">
        <f>ROUND('[1]HPC AG N'!N15,0)</f>
        <v>4601</v>
      </c>
      <c r="M15" s="10">
        <f>ROUND('[1]HPC AG N'!O15,0)</f>
        <v>5105</v>
      </c>
      <c r="N15" s="11">
        <f t="shared" si="2"/>
        <v>9706</v>
      </c>
      <c r="O15" s="12">
        <f>ROUND('[1]HPC AG N'!P15,0)</f>
        <v>645</v>
      </c>
      <c r="P15" s="12">
        <f>ROUND('[1]HPC AG N'!Q15,0)</f>
        <v>644</v>
      </c>
      <c r="Q15" s="13">
        <f t="shared" si="3"/>
        <v>1289</v>
      </c>
      <c r="R15" s="14">
        <f t="shared" si="4"/>
        <v>13591</v>
      </c>
      <c r="S15" s="14">
        <f t="shared" si="4"/>
        <v>13757</v>
      </c>
      <c r="T15" s="15">
        <f t="shared" si="5"/>
        <v>27348</v>
      </c>
    </row>
    <row r="16" spans="1:20" x14ac:dyDescent="0.5">
      <c r="A16" s="8">
        <v>13</v>
      </c>
      <c r="B16" s="9" t="str">
        <f>'[1]HPC AG N'!D16</f>
        <v xml:space="preserve">Banadir  </v>
      </c>
      <c r="C16" s="9" t="str">
        <f>'[1]HPC AG N'!E16</f>
        <v>Banadir</v>
      </c>
      <c r="D16" s="9" t="str">
        <f>'[1]HPC AG N'!F16</f>
        <v>Shibis</v>
      </c>
      <c r="E16" s="9" t="str">
        <f>'[1]HPC AG N'!G16</f>
        <v>SO2213</v>
      </c>
      <c r="F16" s="10">
        <f>ROUND('[1]HPC AG N'!J16,0)</f>
        <v>12079</v>
      </c>
      <c r="G16" s="10">
        <f>ROUND('[1]HPC AG N'!K16,0)</f>
        <v>11180</v>
      </c>
      <c r="H16" s="11">
        <f t="shared" si="0"/>
        <v>23259</v>
      </c>
      <c r="I16" s="12">
        <f>ROUND('[1]HPC AG N'!L16,0)</f>
        <v>27014</v>
      </c>
      <c r="J16" s="12">
        <f>ROUND('[1]HPC AG N'!M16,0)</f>
        <v>26333</v>
      </c>
      <c r="K16" s="13">
        <f t="shared" si="1"/>
        <v>53347</v>
      </c>
      <c r="L16" s="10">
        <f>ROUND('[1]HPC AG N'!N16,0)</f>
        <v>21560</v>
      </c>
      <c r="M16" s="10">
        <f>ROUND('[1]HPC AG N'!O16,0)</f>
        <v>23913</v>
      </c>
      <c r="N16" s="11">
        <f t="shared" si="2"/>
        <v>45473</v>
      </c>
      <c r="O16" s="12">
        <f>ROUND('[1]HPC AG N'!P16,0)</f>
        <v>3021</v>
      </c>
      <c r="P16" s="12">
        <f>ROUND('[1]HPC AG N'!Q16,0)</f>
        <v>3020</v>
      </c>
      <c r="Q16" s="13">
        <f t="shared" si="3"/>
        <v>6041</v>
      </c>
      <c r="R16" s="14">
        <f t="shared" si="4"/>
        <v>63674</v>
      </c>
      <c r="S16" s="14">
        <f t="shared" si="4"/>
        <v>64446</v>
      </c>
      <c r="T16" s="15">
        <f t="shared" si="5"/>
        <v>128120</v>
      </c>
    </row>
    <row r="17" spans="1:20" x14ac:dyDescent="0.5">
      <c r="A17" s="8">
        <v>14</v>
      </c>
      <c r="B17" s="9" t="str">
        <f>'[1]HPC AG N'!D17</f>
        <v xml:space="preserve">Banadir  </v>
      </c>
      <c r="C17" s="9" t="str">
        <f>'[1]HPC AG N'!E17</f>
        <v>Banadir</v>
      </c>
      <c r="D17" s="9" t="str">
        <f>'[1]HPC AG N'!F17</f>
        <v>Waaberi</v>
      </c>
      <c r="E17" s="9" t="str">
        <f>'[1]HPC AG N'!G17</f>
        <v>SO2214</v>
      </c>
      <c r="F17" s="10">
        <f>ROUND('[1]HPC AG N'!J17,0)</f>
        <v>6468</v>
      </c>
      <c r="G17" s="10">
        <f>ROUND('[1]HPC AG N'!K17,0)</f>
        <v>5986</v>
      </c>
      <c r="H17" s="11">
        <f t="shared" si="0"/>
        <v>12454</v>
      </c>
      <c r="I17" s="12">
        <f>ROUND('[1]HPC AG N'!L17,0)</f>
        <v>14465</v>
      </c>
      <c r="J17" s="12">
        <f>ROUND('[1]HPC AG N'!M17,0)</f>
        <v>14099</v>
      </c>
      <c r="K17" s="13">
        <f t="shared" si="1"/>
        <v>28564</v>
      </c>
      <c r="L17" s="10">
        <f>ROUND('[1]HPC AG N'!N17,0)</f>
        <v>11544</v>
      </c>
      <c r="M17" s="10">
        <f>ROUND('[1]HPC AG N'!O17,0)</f>
        <v>12803</v>
      </c>
      <c r="N17" s="11">
        <f t="shared" si="2"/>
        <v>24347</v>
      </c>
      <c r="O17" s="12">
        <f>ROUND('[1]HPC AG N'!P17,0)</f>
        <v>1617</v>
      </c>
      <c r="P17" s="12">
        <f>ROUND('[1]HPC AG N'!Q17,0)</f>
        <v>1617</v>
      </c>
      <c r="Q17" s="13">
        <f t="shared" si="3"/>
        <v>3234</v>
      </c>
      <c r="R17" s="14">
        <f t="shared" si="4"/>
        <v>34094</v>
      </c>
      <c r="S17" s="14">
        <f t="shared" si="4"/>
        <v>34505</v>
      </c>
      <c r="T17" s="15">
        <f t="shared" si="5"/>
        <v>68599</v>
      </c>
    </row>
    <row r="18" spans="1:20" x14ac:dyDescent="0.5">
      <c r="A18" s="8">
        <v>15</v>
      </c>
      <c r="B18" s="9" t="str">
        <f>'[1]HPC AG N'!D18</f>
        <v xml:space="preserve">Banadir  </v>
      </c>
      <c r="C18" s="9" t="str">
        <f>'[1]HPC AG N'!E18</f>
        <v>Banadir</v>
      </c>
      <c r="D18" s="9" t="str">
        <f>'[1]HPC AG N'!F18</f>
        <v>Wadajir (Medina)</v>
      </c>
      <c r="E18" s="9" t="str">
        <f>'[1]HPC AG N'!G18</f>
        <v>SO2215</v>
      </c>
      <c r="F18" s="10">
        <f>ROUND('[1]HPC AG N'!J18,0)</f>
        <v>52962</v>
      </c>
      <c r="G18" s="10">
        <f>ROUND('[1]HPC AG N'!K18,0)</f>
        <v>49018</v>
      </c>
      <c r="H18" s="11">
        <f t="shared" si="0"/>
        <v>101980</v>
      </c>
      <c r="I18" s="12">
        <f>ROUND('[1]HPC AG N'!L18,0)</f>
        <v>118448</v>
      </c>
      <c r="J18" s="12">
        <f>ROUND('[1]HPC AG N'!M18,0)</f>
        <v>115457</v>
      </c>
      <c r="K18" s="13">
        <f t="shared" si="1"/>
        <v>233905</v>
      </c>
      <c r="L18" s="10">
        <f>ROUND('[1]HPC AG N'!N18,0)</f>
        <v>94527</v>
      </c>
      <c r="M18" s="10">
        <f>ROUND('[1]HPC AG N'!O18,0)</f>
        <v>104844</v>
      </c>
      <c r="N18" s="11">
        <f t="shared" si="2"/>
        <v>199371</v>
      </c>
      <c r="O18" s="12">
        <f>ROUND('[1]HPC AG N'!P18,0)</f>
        <v>13241</v>
      </c>
      <c r="P18" s="12">
        <f>ROUND('[1]HPC AG N'!Q18,0)</f>
        <v>13240</v>
      </c>
      <c r="Q18" s="13">
        <f t="shared" si="3"/>
        <v>26481</v>
      </c>
      <c r="R18" s="14">
        <f t="shared" si="4"/>
        <v>279178</v>
      </c>
      <c r="S18" s="14">
        <f t="shared" si="4"/>
        <v>282559</v>
      </c>
      <c r="T18" s="15">
        <f t="shared" si="5"/>
        <v>561737</v>
      </c>
    </row>
    <row r="19" spans="1:20" x14ac:dyDescent="0.5">
      <c r="A19" s="8">
        <v>16</v>
      </c>
      <c r="B19" s="9" t="str">
        <f>'[1]HPC AG N'!D19</f>
        <v xml:space="preserve">Banadir  </v>
      </c>
      <c r="C19" s="9" t="str">
        <f>'[1]HPC AG N'!E19</f>
        <v>Banadir</v>
      </c>
      <c r="D19" s="9" t="str">
        <f>'[1]HPC AG N'!F19</f>
        <v>Wardhigley</v>
      </c>
      <c r="E19" s="9" t="str">
        <f>'[1]HPC AG N'!G19</f>
        <v>SO2216</v>
      </c>
      <c r="F19" s="10">
        <f>ROUND('[1]HPC AG N'!J19,0)</f>
        <v>10898</v>
      </c>
      <c r="G19" s="10">
        <f>ROUND('[1]HPC AG N'!K19,0)</f>
        <v>10086</v>
      </c>
      <c r="H19" s="11">
        <f t="shared" si="0"/>
        <v>20984</v>
      </c>
      <c r="I19" s="12">
        <f>ROUND('[1]HPC AG N'!L19,0)</f>
        <v>24373</v>
      </c>
      <c r="J19" s="12">
        <f>ROUND('[1]HPC AG N'!M19,0)</f>
        <v>23757</v>
      </c>
      <c r="K19" s="13">
        <f t="shared" si="1"/>
        <v>48130</v>
      </c>
      <c r="L19" s="10">
        <f>ROUND('[1]HPC AG N'!N19,0)</f>
        <v>19450</v>
      </c>
      <c r="M19" s="10">
        <f>ROUND('[1]HPC AG N'!O19,0)</f>
        <v>21575</v>
      </c>
      <c r="N19" s="11">
        <f t="shared" si="2"/>
        <v>41025</v>
      </c>
      <c r="O19" s="12">
        <f>ROUND('[1]HPC AG N'!P19,0)</f>
        <v>2725</v>
      </c>
      <c r="P19" s="12">
        <f>ROUND('[1]HPC AG N'!Q19,0)</f>
        <v>2725</v>
      </c>
      <c r="Q19" s="13">
        <f t="shared" si="3"/>
        <v>5450</v>
      </c>
      <c r="R19" s="14">
        <f t="shared" si="4"/>
        <v>57446</v>
      </c>
      <c r="S19" s="14">
        <f t="shared" si="4"/>
        <v>58143</v>
      </c>
      <c r="T19" s="15">
        <f t="shared" si="5"/>
        <v>115589</v>
      </c>
    </row>
    <row r="20" spans="1:20" x14ac:dyDescent="0.5">
      <c r="A20" s="8">
        <v>17</v>
      </c>
      <c r="B20" s="9" t="str">
        <f>'[1]HPC AG N'!D20</f>
        <v xml:space="preserve">Banadir  </v>
      </c>
      <c r="C20" s="9" t="str">
        <f>'[1]HPC AG N'!E20</f>
        <v>Banadir</v>
      </c>
      <c r="D20" s="9" t="str">
        <f>'[1]HPC AG N'!F20</f>
        <v>Yaaqshid</v>
      </c>
      <c r="E20" s="9" t="str">
        <f>'[1]HPC AG N'!G20</f>
        <v>SO2217</v>
      </c>
      <c r="F20" s="10">
        <f>ROUND('[1]HPC AG N'!J20,0)</f>
        <v>8143</v>
      </c>
      <c r="G20" s="10">
        <f>ROUND('[1]HPC AG N'!K20,0)</f>
        <v>7537</v>
      </c>
      <c r="H20" s="11">
        <f t="shared" si="0"/>
        <v>15680</v>
      </c>
      <c r="I20" s="12">
        <f>ROUND('[1]HPC AG N'!L20,0)</f>
        <v>18212</v>
      </c>
      <c r="J20" s="12">
        <f>ROUND('[1]HPC AG N'!M20,0)</f>
        <v>17753</v>
      </c>
      <c r="K20" s="13">
        <f t="shared" si="1"/>
        <v>35965</v>
      </c>
      <c r="L20" s="10">
        <f>ROUND('[1]HPC AG N'!N20,0)</f>
        <v>14534</v>
      </c>
      <c r="M20" s="10">
        <f>ROUND('[1]HPC AG N'!O20,0)</f>
        <v>16120</v>
      </c>
      <c r="N20" s="11">
        <f t="shared" si="2"/>
        <v>30654</v>
      </c>
      <c r="O20" s="12">
        <f>ROUND('[1]HPC AG N'!P20,0)</f>
        <v>2036</v>
      </c>
      <c r="P20" s="12">
        <f>ROUND('[1]HPC AG N'!Q20,0)</f>
        <v>2036</v>
      </c>
      <c r="Q20" s="13">
        <f t="shared" si="3"/>
        <v>4072</v>
      </c>
      <c r="R20" s="14">
        <f t="shared" si="4"/>
        <v>42925</v>
      </c>
      <c r="S20" s="14">
        <f t="shared" si="4"/>
        <v>43446</v>
      </c>
      <c r="T20" s="15">
        <f t="shared" si="5"/>
        <v>86371</v>
      </c>
    </row>
    <row r="21" spans="1:20" x14ac:dyDescent="0.5">
      <c r="A21" s="8">
        <v>18</v>
      </c>
      <c r="B21" s="9" t="str">
        <f>'[1]HPC AG N'!D21</f>
        <v xml:space="preserve">Galmudug  </v>
      </c>
      <c r="C21" s="9" t="str">
        <f>'[1]HPC AG N'!E21</f>
        <v>Galgaduud</v>
      </c>
      <c r="D21" s="9" t="str">
        <f>'[1]HPC AG N'!F21</f>
        <v>Cabudwaaq</v>
      </c>
      <c r="E21" s="9" t="str">
        <f>'[1]HPC AG N'!G21</f>
        <v>SO1902</v>
      </c>
      <c r="F21" s="10">
        <f>ROUND('[1]HPC AG N'!J21,0)</f>
        <v>26124</v>
      </c>
      <c r="G21" s="10">
        <f>ROUND('[1]HPC AG N'!K21,0)</f>
        <v>21514</v>
      </c>
      <c r="H21" s="11">
        <f t="shared" si="0"/>
        <v>47638</v>
      </c>
      <c r="I21" s="12">
        <f>ROUND('[1]HPC AG N'!L21,0)</f>
        <v>48723</v>
      </c>
      <c r="J21" s="12">
        <f>ROUND('[1]HPC AG N'!M21,0)</f>
        <v>43398</v>
      </c>
      <c r="K21" s="13">
        <f t="shared" si="1"/>
        <v>92121</v>
      </c>
      <c r="L21" s="10">
        <f>ROUND('[1]HPC AG N'!N21,0)</f>
        <v>28663</v>
      </c>
      <c r="M21" s="10">
        <f>ROUND('[1]HPC AG N'!O21,0)</f>
        <v>38377</v>
      </c>
      <c r="N21" s="11">
        <f t="shared" si="2"/>
        <v>67040</v>
      </c>
      <c r="O21" s="12">
        <f>ROUND('[1]HPC AG N'!P21,0)</f>
        <v>5158</v>
      </c>
      <c r="P21" s="12">
        <f>ROUND('[1]HPC AG N'!Q21,0)</f>
        <v>6696</v>
      </c>
      <c r="Q21" s="13">
        <f t="shared" si="3"/>
        <v>11854</v>
      </c>
      <c r="R21" s="14">
        <f t="shared" si="4"/>
        <v>108668</v>
      </c>
      <c r="S21" s="14">
        <f t="shared" si="4"/>
        <v>109985</v>
      </c>
      <c r="T21" s="15">
        <f t="shared" si="5"/>
        <v>218653</v>
      </c>
    </row>
    <row r="22" spans="1:20" x14ac:dyDescent="0.5">
      <c r="A22" s="8">
        <v>19</v>
      </c>
      <c r="B22" s="9" t="str">
        <f>'[1]HPC AG N'!D22</f>
        <v xml:space="preserve">Galmudug  </v>
      </c>
      <c r="C22" s="9" t="str">
        <f>'[1]HPC AG N'!E22</f>
        <v>Galgaduud</v>
      </c>
      <c r="D22" s="9" t="str">
        <f>'[1]HPC AG N'!F22</f>
        <v>Cadaado</v>
      </c>
      <c r="E22" s="9" t="str">
        <f>'[1]HPC AG N'!G22</f>
        <v>SO1903</v>
      </c>
      <c r="F22" s="10">
        <f>ROUND('[1]HPC AG N'!J22,0)</f>
        <v>16763</v>
      </c>
      <c r="G22" s="10">
        <f>ROUND('[1]HPC AG N'!K22,0)</f>
        <v>13805</v>
      </c>
      <c r="H22" s="11">
        <f t="shared" si="0"/>
        <v>30568</v>
      </c>
      <c r="I22" s="12">
        <f>ROUND('[1]HPC AG N'!L22,0)</f>
        <v>31265</v>
      </c>
      <c r="J22" s="12">
        <f>ROUND('[1]HPC AG N'!M22,0)</f>
        <v>27847</v>
      </c>
      <c r="K22" s="13">
        <f t="shared" si="1"/>
        <v>59112</v>
      </c>
      <c r="L22" s="10">
        <f>ROUND('[1]HPC AG N'!N22,0)</f>
        <v>18392</v>
      </c>
      <c r="M22" s="10">
        <f>ROUND('[1]HPC AG N'!O22,0)</f>
        <v>24627</v>
      </c>
      <c r="N22" s="11">
        <f t="shared" si="2"/>
        <v>43019</v>
      </c>
      <c r="O22" s="12">
        <f>ROUND('[1]HPC AG N'!P22,0)</f>
        <v>3310</v>
      </c>
      <c r="P22" s="12">
        <f>ROUND('[1]HPC AG N'!Q22,0)</f>
        <v>4296</v>
      </c>
      <c r="Q22" s="13">
        <f t="shared" si="3"/>
        <v>7606</v>
      </c>
      <c r="R22" s="14">
        <f t="shared" si="4"/>
        <v>69730</v>
      </c>
      <c r="S22" s="14">
        <f t="shared" si="4"/>
        <v>70575</v>
      </c>
      <c r="T22" s="15">
        <f t="shared" si="5"/>
        <v>140305</v>
      </c>
    </row>
    <row r="23" spans="1:20" x14ac:dyDescent="0.5">
      <c r="A23" s="8">
        <v>20</v>
      </c>
      <c r="B23" s="9" t="str">
        <f>'[1]HPC AG N'!D23</f>
        <v xml:space="preserve">Galmudug  </v>
      </c>
      <c r="C23" s="9" t="str">
        <f>'[1]HPC AG N'!E23</f>
        <v>Galgaduud</v>
      </c>
      <c r="D23" s="9" t="str">
        <f>'[1]HPC AG N'!F23</f>
        <v>Ceel Buur</v>
      </c>
      <c r="E23" s="9" t="str">
        <f>'[1]HPC AG N'!G23</f>
        <v>SO1904</v>
      </c>
      <c r="F23" s="10">
        <f>ROUND('[1]HPC AG N'!J23,0)</f>
        <v>13385</v>
      </c>
      <c r="G23" s="10">
        <f>ROUND('[1]HPC AG N'!K23,0)</f>
        <v>11023</v>
      </c>
      <c r="H23" s="11">
        <f t="shared" si="0"/>
        <v>24408</v>
      </c>
      <c r="I23" s="12">
        <f>ROUND('[1]HPC AG N'!L23,0)</f>
        <v>24963</v>
      </c>
      <c r="J23" s="12">
        <f>ROUND('[1]HPC AG N'!M23,0)</f>
        <v>22235</v>
      </c>
      <c r="K23" s="13">
        <f t="shared" si="1"/>
        <v>47198</v>
      </c>
      <c r="L23" s="10">
        <f>ROUND('[1]HPC AG N'!N23,0)</f>
        <v>14687</v>
      </c>
      <c r="M23" s="10">
        <f>ROUND('[1]HPC AG N'!O23,0)</f>
        <v>19663</v>
      </c>
      <c r="N23" s="11">
        <f t="shared" si="2"/>
        <v>34350</v>
      </c>
      <c r="O23" s="12">
        <f>ROUND('[1]HPC AG N'!P23,0)</f>
        <v>2644</v>
      </c>
      <c r="P23" s="12">
        <f>ROUND('[1]HPC AG N'!Q23,0)</f>
        <v>3431</v>
      </c>
      <c r="Q23" s="13">
        <f t="shared" si="3"/>
        <v>6075</v>
      </c>
      <c r="R23" s="14">
        <f t="shared" si="4"/>
        <v>55679</v>
      </c>
      <c r="S23" s="14">
        <f t="shared" si="4"/>
        <v>56352</v>
      </c>
      <c r="T23" s="15">
        <f t="shared" si="5"/>
        <v>112031</v>
      </c>
    </row>
    <row r="24" spans="1:20" x14ac:dyDescent="0.5">
      <c r="A24" s="8">
        <v>21</v>
      </c>
      <c r="B24" s="9" t="str">
        <f>'[1]HPC AG N'!D24</f>
        <v xml:space="preserve">Galmudug  </v>
      </c>
      <c r="C24" s="9" t="str">
        <f>'[1]HPC AG N'!E24</f>
        <v>Galgaduud</v>
      </c>
      <c r="D24" s="9" t="str">
        <f>'[1]HPC AG N'!F24</f>
        <v>Ceel Dheer</v>
      </c>
      <c r="E24" s="9" t="str">
        <f>'[1]HPC AG N'!G24</f>
        <v>SO1905</v>
      </c>
      <c r="F24" s="10">
        <f>ROUND('[1]HPC AG N'!J24,0)</f>
        <v>12964</v>
      </c>
      <c r="G24" s="10">
        <f>ROUND('[1]HPC AG N'!K24,0)</f>
        <v>10677</v>
      </c>
      <c r="H24" s="11">
        <f t="shared" si="0"/>
        <v>23641</v>
      </c>
      <c r="I24" s="12">
        <f>ROUND('[1]HPC AG N'!L24,0)</f>
        <v>24179</v>
      </c>
      <c r="J24" s="12">
        <f>ROUND('[1]HPC AG N'!M24,0)</f>
        <v>21536</v>
      </c>
      <c r="K24" s="13">
        <f t="shared" si="1"/>
        <v>45715</v>
      </c>
      <c r="L24" s="10">
        <f>ROUND('[1]HPC AG N'!N24,0)</f>
        <v>14224</v>
      </c>
      <c r="M24" s="10">
        <f>ROUND('[1]HPC AG N'!O24,0)</f>
        <v>19047</v>
      </c>
      <c r="N24" s="11">
        <f t="shared" si="2"/>
        <v>33271</v>
      </c>
      <c r="O24" s="12">
        <f>ROUND('[1]HPC AG N'!P24,0)</f>
        <v>2561</v>
      </c>
      <c r="P24" s="12">
        <f>ROUND('[1]HPC AG N'!Q24,0)</f>
        <v>3323</v>
      </c>
      <c r="Q24" s="13">
        <f t="shared" si="3"/>
        <v>5884</v>
      </c>
      <c r="R24" s="14">
        <f t="shared" si="4"/>
        <v>53928</v>
      </c>
      <c r="S24" s="14">
        <f t="shared" si="4"/>
        <v>54583</v>
      </c>
      <c r="T24" s="15">
        <f t="shared" si="5"/>
        <v>108511</v>
      </c>
    </row>
    <row r="25" spans="1:20" x14ac:dyDescent="0.5">
      <c r="A25" s="8">
        <v>22</v>
      </c>
      <c r="B25" s="9" t="str">
        <f>'[1]HPC AG N'!D25</f>
        <v xml:space="preserve">Galmudug  </v>
      </c>
      <c r="C25" s="9" t="str">
        <f>'[1]HPC AG N'!E25</f>
        <v>Galgaduud</v>
      </c>
      <c r="D25" s="9" t="str">
        <f>'[1]HPC AG N'!F25</f>
        <v>Dhuusamarreeb</v>
      </c>
      <c r="E25" s="9" t="str">
        <f>'[1]HPC AG N'!G25</f>
        <v>SO1901</v>
      </c>
      <c r="F25" s="10">
        <f>ROUND('[1]HPC AG N'!J25,0)</f>
        <v>30875</v>
      </c>
      <c r="G25" s="10">
        <f>ROUND('[1]HPC AG N'!K25,0)</f>
        <v>25426</v>
      </c>
      <c r="H25" s="11">
        <f t="shared" si="0"/>
        <v>56301</v>
      </c>
      <c r="I25" s="12">
        <f>ROUND('[1]HPC AG N'!L25,0)</f>
        <v>57581</v>
      </c>
      <c r="J25" s="12">
        <f>ROUND('[1]HPC AG N'!M25,0)</f>
        <v>51289</v>
      </c>
      <c r="K25" s="13">
        <f t="shared" si="1"/>
        <v>108870</v>
      </c>
      <c r="L25" s="10">
        <f>ROUND('[1]HPC AG N'!N25,0)</f>
        <v>33875</v>
      </c>
      <c r="M25" s="10">
        <f>ROUND('[1]HPC AG N'!O25,0)</f>
        <v>45357</v>
      </c>
      <c r="N25" s="11">
        <f t="shared" si="2"/>
        <v>79232</v>
      </c>
      <c r="O25" s="12">
        <f>ROUND('[1]HPC AG N'!P25,0)</f>
        <v>6098</v>
      </c>
      <c r="P25" s="12">
        <f>ROUND('[1]HPC AG N'!Q25,0)</f>
        <v>7915</v>
      </c>
      <c r="Q25" s="13">
        <f t="shared" si="3"/>
        <v>14013</v>
      </c>
      <c r="R25" s="14">
        <f t="shared" si="4"/>
        <v>128429</v>
      </c>
      <c r="S25" s="14">
        <f t="shared" si="4"/>
        <v>129987</v>
      </c>
      <c r="T25" s="15">
        <f t="shared" si="5"/>
        <v>258416</v>
      </c>
    </row>
    <row r="26" spans="1:20" x14ac:dyDescent="0.5">
      <c r="A26" s="8">
        <v>23</v>
      </c>
      <c r="B26" s="9" t="str">
        <f>'[1]HPC AG N'!D26</f>
        <v xml:space="preserve">Puntland  </v>
      </c>
      <c r="C26" s="9" t="str">
        <f>'[1]HPC AG N'!E26</f>
        <v>Mudug</v>
      </c>
      <c r="D26" s="9" t="str">
        <f>'[1]HPC AG N'!F26</f>
        <v>Gaalkacyo North</v>
      </c>
      <c r="E26" s="9" t="str">
        <f>'[1]HPC AG N'!G26</f>
        <v>SO1801</v>
      </c>
      <c r="F26" s="10">
        <f>ROUND('[1]HPC AG N'!J26,0)</f>
        <v>72680</v>
      </c>
      <c r="G26" s="10">
        <f>ROUND('[1]HPC AG N'!K26,0)</f>
        <v>63553</v>
      </c>
      <c r="H26" s="11">
        <f t="shared" si="0"/>
        <v>136233</v>
      </c>
      <c r="I26" s="12">
        <f>ROUND('[1]HPC AG N'!L26,0)</f>
        <v>143467</v>
      </c>
      <c r="J26" s="12">
        <f>ROUND('[1]HPC AG N'!M26,0)</f>
        <v>135034</v>
      </c>
      <c r="K26" s="13">
        <f t="shared" si="1"/>
        <v>278501</v>
      </c>
      <c r="L26" s="10">
        <f>ROUND('[1]HPC AG N'!N26,0)</f>
        <v>104660</v>
      </c>
      <c r="M26" s="10">
        <f>ROUND('[1]HPC AG N'!O26,0)</f>
        <v>123236</v>
      </c>
      <c r="N26" s="11">
        <f t="shared" si="2"/>
        <v>227896</v>
      </c>
      <c r="O26" s="12">
        <f>ROUND('[1]HPC AG N'!P26,0)</f>
        <v>15550</v>
      </c>
      <c r="P26" s="12">
        <f>ROUND('[1]HPC AG N'!Q26,0)</f>
        <v>16565</v>
      </c>
      <c r="Q26" s="13">
        <f t="shared" si="3"/>
        <v>32115</v>
      </c>
      <c r="R26" s="14">
        <f t="shared" si="4"/>
        <v>336357</v>
      </c>
      <c r="S26" s="14">
        <f t="shared" si="4"/>
        <v>338388</v>
      </c>
      <c r="T26" s="15">
        <f t="shared" si="5"/>
        <v>674745</v>
      </c>
    </row>
    <row r="27" spans="1:20" x14ac:dyDescent="0.5">
      <c r="A27" s="8">
        <v>24</v>
      </c>
      <c r="B27" s="9" t="str">
        <f>'[1]HPC AG N'!D27</f>
        <v xml:space="preserve">Galmudug  </v>
      </c>
      <c r="C27" s="9" t="str">
        <f>'[1]HPC AG N'!E27</f>
        <v>Mudug</v>
      </c>
      <c r="D27" s="9" t="str">
        <f>'[1]HPC AG N'!F27</f>
        <v>Gaalkacyo South</v>
      </c>
      <c r="E27" s="9" t="str">
        <f>'[1]HPC AG N'!G27</f>
        <v>SO1801</v>
      </c>
      <c r="F27" s="10">
        <f>ROUND('[1]HPC AG N'!J27,0)</f>
        <v>20788</v>
      </c>
      <c r="G27" s="10">
        <f>ROUND('[1]HPC AG N'!K27,0)</f>
        <v>17120</v>
      </c>
      <c r="H27" s="11">
        <f t="shared" si="0"/>
        <v>37908</v>
      </c>
      <c r="I27" s="12">
        <f>ROUND('[1]HPC AG N'!L27,0)</f>
        <v>38770</v>
      </c>
      <c r="J27" s="12">
        <f>ROUND('[1]HPC AG N'!M27,0)</f>
        <v>34533</v>
      </c>
      <c r="K27" s="13">
        <f t="shared" si="1"/>
        <v>73303</v>
      </c>
      <c r="L27" s="10">
        <f>ROUND('[1]HPC AG N'!N27,0)</f>
        <v>22808</v>
      </c>
      <c r="M27" s="10">
        <f>ROUND('[1]HPC AG N'!O27,0)</f>
        <v>30538</v>
      </c>
      <c r="N27" s="11">
        <f t="shared" si="2"/>
        <v>53346</v>
      </c>
      <c r="O27" s="12">
        <f>ROUND('[1]HPC AG N'!P27,0)</f>
        <v>4105</v>
      </c>
      <c r="P27" s="12">
        <f>ROUND('[1]HPC AG N'!Q27,0)</f>
        <v>5329</v>
      </c>
      <c r="Q27" s="13">
        <f t="shared" si="3"/>
        <v>9434</v>
      </c>
      <c r="R27" s="14">
        <f t="shared" si="4"/>
        <v>86471</v>
      </c>
      <c r="S27" s="14">
        <f t="shared" si="4"/>
        <v>87520</v>
      </c>
      <c r="T27" s="15">
        <f t="shared" si="5"/>
        <v>173991</v>
      </c>
    </row>
    <row r="28" spans="1:20" x14ac:dyDescent="0.5">
      <c r="A28" s="8">
        <v>25</v>
      </c>
      <c r="B28" s="9" t="str">
        <f>'[1]HPC AG N'!D28</f>
        <v xml:space="preserve">Puntland  </v>
      </c>
      <c r="C28" s="9" t="str">
        <f>'[1]HPC AG N'!E28</f>
        <v>Mudug</v>
      </c>
      <c r="D28" s="9" t="str">
        <f>'[1]HPC AG N'!F28</f>
        <v>Galdogob</v>
      </c>
      <c r="E28" s="9" t="str">
        <f>'[1]HPC AG N'!G28</f>
        <v>SO1802</v>
      </c>
      <c r="F28" s="10">
        <f>ROUND('[1]HPC AG N'!J28,0)</f>
        <v>20465</v>
      </c>
      <c r="G28" s="10">
        <f>ROUND('[1]HPC AG N'!K28,0)</f>
        <v>17895</v>
      </c>
      <c r="H28" s="11">
        <f t="shared" si="0"/>
        <v>38360</v>
      </c>
      <c r="I28" s="12">
        <f>ROUND('[1]HPC AG N'!L28,0)</f>
        <v>40396</v>
      </c>
      <c r="J28" s="12">
        <f>ROUND('[1]HPC AG N'!M28,0)</f>
        <v>38022</v>
      </c>
      <c r="K28" s="13">
        <f t="shared" si="1"/>
        <v>78418</v>
      </c>
      <c r="L28" s="10">
        <f>ROUND('[1]HPC AG N'!N28,0)</f>
        <v>29470</v>
      </c>
      <c r="M28" s="10">
        <f>ROUND('[1]HPC AG N'!O28,0)</f>
        <v>34699</v>
      </c>
      <c r="N28" s="11">
        <f t="shared" si="2"/>
        <v>64169</v>
      </c>
      <c r="O28" s="12">
        <f>ROUND('[1]HPC AG N'!P28,0)</f>
        <v>4378</v>
      </c>
      <c r="P28" s="12">
        <f>ROUND('[1]HPC AG N'!Q28,0)</f>
        <v>4664</v>
      </c>
      <c r="Q28" s="13">
        <f t="shared" si="3"/>
        <v>9042</v>
      </c>
      <c r="R28" s="14">
        <f t="shared" si="4"/>
        <v>94709</v>
      </c>
      <c r="S28" s="14">
        <f t="shared" si="4"/>
        <v>95280</v>
      </c>
      <c r="T28" s="15">
        <f t="shared" si="5"/>
        <v>189989</v>
      </c>
    </row>
    <row r="29" spans="1:20" x14ac:dyDescent="0.5">
      <c r="A29" s="8">
        <v>26</v>
      </c>
      <c r="B29" s="9" t="str">
        <f>'[1]HPC AG N'!D29</f>
        <v xml:space="preserve">Galmudug  </v>
      </c>
      <c r="C29" s="9" t="str">
        <f>'[1]HPC AG N'!E29</f>
        <v>Mudug</v>
      </c>
      <c r="D29" s="9" t="str">
        <f>'[1]HPC AG N'!F29</f>
        <v>Hobyo</v>
      </c>
      <c r="E29" s="9" t="str">
        <f>'[1]HPC AG N'!G29</f>
        <v>SO1803</v>
      </c>
      <c r="F29" s="10">
        <f>ROUND('[1]HPC AG N'!J29,0)</f>
        <v>23153</v>
      </c>
      <c r="G29" s="10">
        <f>ROUND('[1]HPC AG N'!K29,0)</f>
        <v>19067</v>
      </c>
      <c r="H29" s="11">
        <f t="shared" si="0"/>
        <v>42220</v>
      </c>
      <c r="I29" s="12">
        <f>ROUND('[1]HPC AG N'!L29,0)</f>
        <v>43181</v>
      </c>
      <c r="J29" s="12">
        <f>ROUND('[1]HPC AG N'!M29,0)</f>
        <v>38462</v>
      </c>
      <c r="K29" s="13">
        <f t="shared" si="1"/>
        <v>81643</v>
      </c>
      <c r="L29" s="10">
        <f>ROUND('[1]HPC AG N'!N29,0)</f>
        <v>25402</v>
      </c>
      <c r="M29" s="10">
        <f>ROUND('[1]HPC AG N'!O29,0)</f>
        <v>34012</v>
      </c>
      <c r="N29" s="11">
        <f t="shared" si="2"/>
        <v>59414</v>
      </c>
      <c r="O29" s="12">
        <f>ROUND('[1]HPC AG N'!P29,0)</f>
        <v>4572</v>
      </c>
      <c r="P29" s="12">
        <f>ROUND('[1]HPC AG N'!Q29,0)</f>
        <v>5934</v>
      </c>
      <c r="Q29" s="13">
        <f t="shared" si="3"/>
        <v>10506</v>
      </c>
      <c r="R29" s="14">
        <f t="shared" si="4"/>
        <v>96308</v>
      </c>
      <c r="S29" s="14">
        <f t="shared" si="4"/>
        <v>97475</v>
      </c>
      <c r="T29" s="15">
        <f t="shared" si="5"/>
        <v>193783</v>
      </c>
    </row>
    <row r="30" spans="1:20" x14ac:dyDescent="0.5">
      <c r="A30" s="8">
        <v>27</v>
      </c>
      <c r="B30" s="9" t="str">
        <f>'[1]HPC AG N'!D30</f>
        <v xml:space="preserve">Galmudug  </v>
      </c>
      <c r="C30" s="9" t="str">
        <f>'[1]HPC AG N'!E30</f>
        <v>Mudug</v>
      </c>
      <c r="D30" s="9" t="str">
        <f>'[1]HPC AG N'!F30</f>
        <v>Jariiban</v>
      </c>
      <c r="E30" s="9" t="str">
        <f>'[1]HPC AG N'!G30</f>
        <v>SO1804</v>
      </c>
      <c r="F30" s="10">
        <f>ROUND('[1]HPC AG N'!J30,0)</f>
        <v>23785</v>
      </c>
      <c r="G30" s="10">
        <f>ROUND('[1]HPC AG N'!K30,0)</f>
        <v>19588</v>
      </c>
      <c r="H30" s="11">
        <f t="shared" si="0"/>
        <v>43373</v>
      </c>
      <c r="I30" s="12">
        <f>ROUND('[1]HPC AG N'!L30,0)</f>
        <v>44360</v>
      </c>
      <c r="J30" s="12">
        <f>ROUND('[1]HPC AG N'!M30,0)</f>
        <v>39511</v>
      </c>
      <c r="K30" s="13">
        <f t="shared" si="1"/>
        <v>83871</v>
      </c>
      <c r="L30" s="10">
        <f>ROUND('[1]HPC AG N'!N30,0)</f>
        <v>26097</v>
      </c>
      <c r="M30" s="10">
        <f>ROUND('[1]HPC AG N'!O30,0)</f>
        <v>34942</v>
      </c>
      <c r="N30" s="11">
        <f t="shared" si="2"/>
        <v>61039</v>
      </c>
      <c r="O30" s="12">
        <f>ROUND('[1]HPC AG N'!P30,0)</f>
        <v>4697</v>
      </c>
      <c r="P30" s="12">
        <f>ROUND('[1]HPC AG N'!Q30,0)</f>
        <v>6096</v>
      </c>
      <c r="Q30" s="13">
        <f t="shared" si="3"/>
        <v>10793</v>
      </c>
      <c r="R30" s="14">
        <f t="shared" si="4"/>
        <v>98939</v>
      </c>
      <c r="S30" s="14">
        <f t="shared" si="4"/>
        <v>100137</v>
      </c>
      <c r="T30" s="15">
        <f t="shared" si="5"/>
        <v>199076</v>
      </c>
    </row>
    <row r="31" spans="1:20" x14ac:dyDescent="0.5">
      <c r="A31" s="8">
        <v>28</v>
      </c>
      <c r="B31" s="9" t="str">
        <f>'[1]HPC AG N'!D31</f>
        <v xml:space="preserve">Galmudug  </v>
      </c>
      <c r="C31" s="9" t="str">
        <f>'[1]HPC AG N'!E31</f>
        <v>Mudug</v>
      </c>
      <c r="D31" s="9" t="str">
        <f>'[1]HPC AG N'!F31</f>
        <v>Xarardheere</v>
      </c>
      <c r="E31" s="9" t="str">
        <f>'[1]HPC AG N'!G31</f>
        <v>SO1805</v>
      </c>
      <c r="F31" s="10">
        <f>ROUND('[1]HPC AG N'!J31,0)</f>
        <v>10090</v>
      </c>
      <c r="G31" s="10">
        <f>ROUND('[1]HPC AG N'!K31,0)</f>
        <v>8309</v>
      </c>
      <c r="H31" s="11">
        <f t="shared" si="0"/>
        <v>18399</v>
      </c>
      <c r="I31" s="12">
        <f>ROUND('[1]HPC AG N'!L31,0)</f>
        <v>18818</v>
      </c>
      <c r="J31" s="12">
        <f>ROUND('[1]HPC AG N'!M31,0)</f>
        <v>16761</v>
      </c>
      <c r="K31" s="13">
        <f t="shared" si="1"/>
        <v>35579</v>
      </c>
      <c r="L31" s="10">
        <f>ROUND('[1]HPC AG N'!N31,0)</f>
        <v>11071</v>
      </c>
      <c r="M31" s="10">
        <f>ROUND('[1]HPC AG N'!O31,0)</f>
        <v>14823</v>
      </c>
      <c r="N31" s="11">
        <f t="shared" si="2"/>
        <v>25894</v>
      </c>
      <c r="O31" s="12">
        <f>ROUND('[1]HPC AG N'!P31,0)</f>
        <v>1993</v>
      </c>
      <c r="P31" s="12">
        <f>ROUND('[1]HPC AG N'!Q31,0)</f>
        <v>2586</v>
      </c>
      <c r="Q31" s="13">
        <f t="shared" si="3"/>
        <v>4579</v>
      </c>
      <c r="R31" s="14">
        <f t="shared" si="4"/>
        <v>41972</v>
      </c>
      <c r="S31" s="14">
        <f t="shared" si="4"/>
        <v>42479</v>
      </c>
      <c r="T31" s="15">
        <f t="shared" si="5"/>
        <v>84451</v>
      </c>
    </row>
    <row r="32" spans="1:20" x14ac:dyDescent="0.5">
      <c r="A32" s="8">
        <v>29</v>
      </c>
      <c r="B32" s="9" t="str">
        <f>'[1]HPC AG N'!D32</f>
        <v xml:space="preserve">Hirshabelle  </v>
      </c>
      <c r="C32" s="9" t="str">
        <f>'[1]HPC AG N'!E32</f>
        <v>Hiraan</v>
      </c>
      <c r="D32" s="9" t="str">
        <f>'[1]HPC AG N'!F32</f>
        <v>Belet Weyne</v>
      </c>
      <c r="E32" s="9" t="str">
        <f>'[1]HPC AG N'!G32</f>
        <v>SO2001</v>
      </c>
      <c r="F32" s="10">
        <f>ROUND('[1]HPC AG N'!J32,0)</f>
        <v>38163</v>
      </c>
      <c r="G32" s="10">
        <f>ROUND('[1]HPC AG N'!K32,0)</f>
        <v>40274</v>
      </c>
      <c r="H32" s="11">
        <f t="shared" si="0"/>
        <v>78437</v>
      </c>
      <c r="I32" s="12">
        <f>ROUND('[1]HPC AG N'!L32,0)</f>
        <v>73666</v>
      </c>
      <c r="J32" s="12">
        <f>ROUND('[1]HPC AG N'!M32,0)</f>
        <v>70772</v>
      </c>
      <c r="K32" s="13">
        <f t="shared" si="1"/>
        <v>144438</v>
      </c>
      <c r="L32" s="10">
        <f>ROUND('[1]HPC AG N'!N32,0)</f>
        <v>54367</v>
      </c>
      <c r="M32" s="10">
        <f>ROUND('[1]HPC AG N'!O32,0)</f>
        <v>57436</v>
      </c>
      <c r="N32" s="11">
        <f t="shared" si="2"/>
        <v>111803</v>
      </c>
      <c r="O32" s="12">
        <f>ROUND('[1]HPC AG N'!P32,0)</f>
        <v>8441</v>
      </c>
      <c r="P32" s="12">
        <f>ROUND('[1]HPC AG N'!Q32,0)</f>
        <v>7563</v>
      </c>
      <c r="Q32" s="13">
        <f t="shared" si="3"/>
        <v>16004</v>
      </c>
      <c r="R32" s="14">
        <f t="shared" si="4"/>
        <v>174637</v>
      </c>
      <c r="S32" s="14">
        <f t="shared" si="4"/>
        <v>176045</v>
      </c>
      <c r="T32" s="15">
        <f t="shared" si="5"/>
        <v>350682</v>
      </c>
    </row>
    <row r="33" spans="1:20" x14ac:dyDescent="0.5">
      <c r="A33" s="8">
        <v>30</v>
      </c>
      <c r="B33" s="9" t="str">
        <f>'[1]HPC AG N'!D33</f>
        <v xml:space="preserve">Hirshabelle  </v>
      </c>
      <c r="C33" s="9" t="str">
        <f>'[1]HPC AG N'!E33</f>
        <v>Hiraan</v>
      </c>
      <c r="D33" s="9" t="str">
        <f>'[1]HPC AG N'!F33</f>
        <v>Bulo Burto</v>
      </c>
      <c r="E33" s="9" t="str">
        <f>'[1]HPC AG N'!G33</f>
        <v>SO2002</v>
      </c>
      <c r="F33" s="10">
        <f>ROUND('[1]HPC AG N'!J33,0)</f>
        <v>11300</v>
      </c>
      <c r="G33" s="10">
        <f>ROUND('[1]HPC AG N'!K33,0)</f>
        <v>11925</v>
      </c>
      <c r="H33" s="11">
        <f t="shared" si="0"/>
        <v>23225</v>
      </c>
      <c r="I33" s="12">
        <f>ROUND('[1]HPC AG N'!L33,0)</f>
        <v>21813</v>
      </c>
      <c r="J33" s="12">
        <f>ROUND('[1]HPC AG N'!M33,0)</f>
        <v>20955</v>
      </c>
      <c r="K33" s="13">
        <f t="shared" si="1"/>
        <v>42768</v>
      </c>
      <c r="L33" s="10">
        <f>ROUND('[1]HPC AG N'!N33,0)</f>
        <v>16098</v>
      </c>
      <c r="M33" s="10">
        <f>ROUND('[1]HPC AG N'!O33,0)</f>
        <v>17007</v>
      </c>
      <c r="N33" s="11">
        <f t="shared" si="2"/>
        <v>33105</v>
      </c>
      <c r="O33" s="12">
        <f>ROUND('[1]HPC AG N'!P33,0)</f>
        <v>2500</v>
      </c>
      <c r="P33" s="12">
        <f>ROUND('[1]HPC AG N'!Q33,0)</f>
        <v>2239</v>
      </c>
      <c r="Q33" s="13">
        <f t="shared" si="3"/>
        <v>4739</v>
      </c>
      <c r="R33" s="14">
        <f t="shared" si="4"/>
        <v>51711</v>
      </c>
      <c r="S33" s="14">
        <f t="shared" si="4"/>
        <v>52126</v>
      </c>
      <c r="T33" s="15">
        <f t="shared" si="5"/>
        <v>103837</v>
      </c>
    </row>
    <row r="34" spans="1:20" x14ac:dyDescent="0.5">
      <c r="A34" s="8">
        <v>31</v>
      </c>
      <c r="B34" s="9" t="str">
        <f>'[1]HPC AG N'!D34</f>
        <v xml:space="preserve">Hirshabelle  </v>
      </c>
      <c r="C34" s="9" t="str">
        <f>'[1]HPC AG N'!E34</f>
        <v>Hiraan</v>
      </c>
      <c r="D34" s="9" t="str">
        <f>'[1]HPC AG N'!F34</f>
        <v>Jalalaqsi</v>
      </c>
      <c r="E34" s="9" t="str">
        <f>'[1]HPC AG N'!G34</f>
        <v>SO2003</v>
      </c>
      <c r="F34" s="10">
        <f>ROUND('[1]HPC AG N'!J34,0)</f>
        <v>7182</v>
      </c>
      <c r="G34" s="10">
        <f>ROUND('[1]HPC AG N'!K34,0)</f>
        <v>7580</v>
      </c>
      <c r="H34" s="11">
        <f t="shared" si="0"/>
        <v>14762</v>
      </c>
      <c r="I34" s="12">
        <f>ROUND('[1]HPC AG N'!L34,0)</f>
        <v>13864</v>
      </c>
      <c r="J34" s="12">
        <f>ROUND('[1]HPC AG N'!M34,0)</f>
        <v>13319</v>
      </c>
      <c r="K34" s="13">
        <f t="shared" si="1"/>
        <v>27183</v>
      </c>
      <c r="L34" s="10">
        <f>ROUND('[1]HPC AG N'!N34,0)</f>
        <v>10231</v>
      </c>
      <c r="M34" s="10">
        <f>ROUND('[1]HPC AG N'!O34,0)</f>
        <v>10810</v>
      </c>
      <c r="N34" s="11">
        <f t="shared" si="2"/>
        <v>21041</v>
      </c>
      <c r="O34" s="12">
        <f>ROUND('[1]HPC AG N'!P34,0)</f>
        <v>1589</v>
      </c>
      <c r="P34" s="12">
        <f>ROUND('[1]HPC AG N'!Q34,0)</f>
        <v>1423</v>
      </c>
      <c r="Q34" s="13">
        <f t="shared" si="3"/>
        <v>3012</v>
      </c>
      <c r="R34" s="14">
        <f t="shared" si="4"/>
        <v>32866</v>
      </c>
      <c r="S34" s="14">
        <f t="shared" si="4"/>
        <v>33132</v>
      </c>
      <c r="T34" s="15">
        <f t="shared" si="5"/>
        <v>65998</v>
      </c>
    </row>
    <row r="35" spans="1:20" x14ac:dyDescent="0.5">
      <c r="A35" s="8">
        <v>32</v>
      </c>
      <c r="B35" s="9" t="str">
        <f>'[1]HPC AG N'!D35</f>
        <v xml:space="preserve">Hirshabelle  </v>
      </c>
      <c r="C35" s="9" t="str">
        <f>'[1]HPC AG N'!E35</f>
        <v>Middle Shabelle</v>
      </c>
      <c r="D35" s="9" t="str">
        <f>'[1]HPC AG N'!F35</f>
        <v>Adan Yabaal</v>
      </c>
      <c r="E35" s="9" t="str">
        <f>'[1]HPC AG N'!G35</f>
        <v>SO2102</v>
      </c>
      <c r="F35" s="10">
        <f>ROUND('[1]HPC AG N'!J35,0)</f>
        <v>11399</v>
      </c>
      <c r="G35" s="10">
        <f>ROUND('[1]HPC AG N'!K35,0)</f>
        <v>12029</v>
      </c>
      <c r="H35" s="11">
        <f t="shared" si="0"/>
        <v>23428</v>
      </c>
      <c r="I35" s="12">
        <f>ROUND('[1]HPC AG N'!L35,0)</f>
        <v>22003</v>
      </c>
      <c r="J35" s="12">
        <f>ROUND('[1]HPC AG N'!M35,0)</f>
        <v>21139</v>
      </c>
      <c r="K35" s="13">
        <f t="shared" si="1"/>
        <v>43142</v>
      </c>
      <c r="L35" s="10">
        <f>ROUND('[1]HPC AG N'!N35,0)</f>
        <v>16238</v>
      </c>
      <c r="M35" s="10">
        <f>ROUND('[1]HPC AG N'!O35,0)</f>
        <v>17157</v>
      </c>
      <c r="N35" s="11">
        <f t="shared" si="2"/>
        <v>33395</v>
      </c>
      <c r="O35" s="12">
        <f>ROUND('[1]HPC AG N'!P35,0)</f>
        <v>2522</v>
      </c>
      <c r="P35" s="12">
        <f>ROUND('[1]HPC AG N'!Q35,0)</f>
        <v>2259</v>
      </c>
      <c r="Q35" s="13">
        <f t="shared" si="3"/>
        <v>4781</v>
      </c>
      <c r="R35" s="14">
        <f t="shared" si="4"/>
        <v>52162</v>
      </c>
      <c r="S35" s="14">
        <f t="shared" si="4"/>
        <v>52584</v>
      </c>
      <c r="T35" s="15">
        <f t="shared" si="5"/>
        <v>104746</v>
      </c>
    </row>
    <row r="36" spans="1:20" x14ac:dyDescent="0.5">
      <c r="A36" s="8">
        <v>33</v>
      </c>
      <c r="B36" s="9" t="str">
        <f>'[1]HPC AG N'!D36</f>
        <v xml:space="preserve">Hirshabelle  </v>
      </c>
      <c r="C36" s="9" t="str">
        <f>'[1]HPC AG N'!E36</f>
        <v>Middle Shabelle</v>
      </c>
      <c r="D36" s="9" t="str">
        <f>'[1]HPC AG N'!F36</f>
        <v>Balcad</v>
      </c>
      <c r="E36" s="9" t="str">
        <f>'[1]HPC AG N'!G36</f>
        <v>SO2103</v>
      </c>
      <c r="F36" s="10">
        <f>ROUND('[1]HPC AG N'!J36,0)</f>
        <v>44378</v>
      </c>
      <c r="G36" s="10">
        <f>ROUND('[1]HPC AG N'!K36,0)</f>
        <v>46832</v>
      </c>
      <c r="H36" s="11">
        <f t="shared" si="0"/>
        <v>91210</v>
      </c>
      <c r="I36" s="12">
        <f>ROUND('[1]HPC AG N'!L36,0)</f>
        <v>85663</v>
      </c>
      <c r="J36" s="12">
        <f>ROUND('[1]HPC AG N'!M36,0)</f>
        <v>82296</v>
      </c>
      <c r="K36" s="13">
        <f t="shared" si="1"/>
        <v>167959</v>
      </c>
      <c r="L36" s="10">
        <f>ROUND('[1]HPC AG N'!N36,0)</f>
        <v>63218</v>
      </c>
      <c r="M36" s="10">
        <f>ROUND('[1]HPC AG N'!O36,0)</f>
        <v>66789</v>
      </c>
      <c r="N36" s="11">
        <f t="shared" si="2"/>
        <v>130007</v>
      </c>
      <c r="O36" s="12">
        <f>ROUND('[1]HPC AG N'!P36,0)</f>
        <v>9817</v>
      </c>
      <c r="P36" s="12">
        <f>ROUND('[1]HPC AG N'!Q36,0)</f>
        <v>8795</v>
      </c>
      <c r="Q36" s="13">
        <f t="shared" si="3"/>
        <v>18612</v>
      </c>
      <c r="R36" s="14">
        <f t="shared" si="4"/>
        <v>203076</v>
      </c>
      <c r="S36" s="14">
        <f t="shared" si="4"/>
        <v>204712</v>
      </c>
      <c r="T36" s="15">
        <f t="shared" si="5"/>
        <v>407788</v>
      </c>
    </row>
    <row r="37" spans="1:20" x14ac:dyDescent="0.5">
      <c r="A37" s="8">
        <v>34</v>
      </c>
      <c r="B37" s="9" t="str">
        <f>'[1]HPC AG N'!D37</f>
        <v xml:space="preserve">Hirshabelle  </v>
      </c>
      <c r="C37" s="9" t="str">
        <f>'[1]HPC AG N'!E37</f>
        <v>Middle Shabelle</v>
      </c>
      <c r="D37" s="9" t="str">
        <f>'[1]HPC AG N'!F37</f>
        <v>Cadale</v>
      </c>
      <c r="E37" s="9" t="str">
        <f>'[1]HPC AG N'!G37</f>
        <v>SO2104</v>
      </c>
      <c r="F37" s="10">
        <f>ROUND('[1]HPC AG N'!J37,0)</f>
        <v>9406</v>
      </c>
      <c r="G37" s="10">
        <f>ROUND('[1]HPC AG N'!K37,0)</f>
        <v>9926</v>
      </c>
      <c r="H37" s="11">
        <f t="shared" si="0"/>
        <v>19332</v>
      </c>
      <c r="I37" s="12">
        <f>ROUND('[1]HPC AG N'!L37,0)</f>
        <v>18157</v>
      </c>
      <c r="J37" s="12">
        <f>ROUND('[1]HPC AG N'!M37,0)</f>
        <v>17443</v>
      </c>
      <c r="K37" s="13">
        <f t="shared" si="1"/>
        <v>35600</v>
      </c>
      <c r="L37" s="10">
        <f>ROUND('[1]HPC AG N'!N37,0)</f>
        <v>13400</v>
      </c>
      <c r="M37" s="10">
        <f>ROUND('[1]HPC AG N'!O37,0)</f>
        <v>14156</v>
      </c>
      <c r="N37" s="11">
        <f t="shared" si="2"/>
        <v>27556</v>
      </c>
      <c r="O37" s="12">
        <f>ROUND('[1]HPC AG N'!P37,0)</f>
        <v>2080</v>
      </c>
      <c r="P37" s="12">
        <f>ROUND('[1]HPC AG N'!Q37,0)</f>
        <v>1865</v>
      </c>
      <c r="Q37" s="13">
        <f t="shared" si="3"/>
        <v>3945</v>
      </c>
      <c r="R37" s="14">
        <f t="shared" si="4"/>
        <v>43043</v>
      </c>
      <c r="S37" s="14">
        <f t="shared" si="4"/>
        <v>43390</v>
      </c>
      <c r="T37" s="15">
        <f t="shared" si="5"/>
        <v>86433</v>
      </c>
    </row>
    <row r="38" spans="1:20" x14ac:dyDescent="0.5">
      <c r="A38" s="8">
        <v>35</v>
      </c>
      <c r="B38" s="9" t="str">
        <f>'[1]HPC AG N'!D38</f>
        <v xml:space="preserve">Hirshabelle  </v>
      </c>
      <c r="C38" s="9" t="str">
        <f>'[1]HPC AG N'!E38</f>
        <v>Middle Shabelle</v>
      </c>
      <c r="D38" s="9" t="str">
        <f>'[1]HPC AG N'!F38</f>
        <v>Jowhar</v>
      </c>
      <c r="E38" s="9" t="str">
        <f>'[1]HPC AG N'!G38</f>
        <v>SO2101</v>
      </c>
      <c r="F38" s="10">
        <f>ROUND('[1]HPC AG N'!J38,0)</f>
        <v>48526</v>
      </c>
      <c r="G38" s="10">
        <f>ROUND('[1]HPC AG N'!K38,0)</f>
        <v>51210</v>
      </c>
      <c r="H38" s="11">
        <f t="shared" si="0"/>
        <v>99736</v>
      </c>
      <c r="I38" s="12">
        <f>ROUND('[1]HPC AG N'!L38,0)</f>
        <v>93670</v>
      </c>
      <c r="J38" s="12">
        <f>ROUND('[1]HPC AG N'!M38,0)</f>
        <v>89989</v>
      </c>
      <c r="K38" s="13">
        <f t="shared" si="1"/>
        <v>183659</v>
      </c>
      <c r="L38" s="10">
        <f>ROUND('[1]HPC AG N'!N38,0)</f>
        <v>69129</v>
      </c>
      <c r="M38" s="10">
        <f>ROUND('[1]HPC AG N'!O38,0)</f>
        <v>73032</v>
      </c>
      <c r="N38" s="11">
        <f t="shared" si="2"/>
        <v>142161</v>
      </c>
      <c r="O38" s="12">
        <f>ROUND('[1]HPC AG N'!P38,0)</f>
        <v>10733</v>
      </c>
      <c r="P38" s="12">
        <f>ROUND('[1]HPC AG N'!Q38,0)</f>
        <v>9616</v>
      </c>
      <c r="Q38" s="13">
        <f t="shared" si="3"/>
        <v>20349</v>
      </c>
      <c r="R38" s="14">
        <f t="shared" si="4"/>
        <v>222058</v>
      </c>
      <c r="S38" s="14">
        <f t="shared" si="4"/>
        <v>223847</v>
      </c>
      <c r="T38" s="15">
        <f t="shared" si="5"/>
        <v>445905</v>
      </c>
    </row>
    <row r="39" spans="1:20" x14ac:dyDescent="0.5">
      <c r="A39" s="8">
        <v>36</v>
      </c>
      <c r="B39" s="9" t="str">
        <f>'[1]HPC AG N'!D39</f>
        <v xml:space="preserve">Jubaland  </v>
      </c>
      <c r="C39" s="9" t="str">
        <f>'[1]HPC AG N'!E39</f>
        <v>Gedo</v>
      </c>
      <c r="D39" s="9" t="str">
        <f>'[1]HPC AG N'!F39</f>
        <v>Baardheere</v>
      </c>
      <c r="E39" s="9" t="str">
        <f>'[1]HPC AG N'!G39</f>
        <v>SO2602</v>
      </c>
      <c r="F39" s="10">
        <f>ROUND('[1]HPC AG N'!J39,0)</f>
        <v>24227</v>
      </c>
      <c r="G39" s="10">
        <f>ROUND('[1]HPC AG N'!K39,0)</f>
        <v>22963</v>
      </c>
      <c r="H39" s="11">
        <f t="shared" si="0"/>
        <v>47190</v>
      </c>
      <c r="I39" s="12">
        <f>ROUND('[1]HPC AG N'!L39,0)</f>
        <v>43297</v>
      </c>
      <c r="J39" s="12">
        <f>ROUND('[1]HPC AG N'!M39,0)</f>
        <v>42640</v>
      </c>
      <c r="K39" s="13">
        <f t="shared" si="1"/>
        <v>85937</v>
      </c>
      <c r="L39" s="10">
        <f>ROUND('[1]HPC AG N'!N39,0)</f>
        <v>33176</v>
      </c>
      <c r="M39" s="10">
        <f>ROUND('[1]HPC AG N'!O39,0)</f>
        <v>35625</v>
      </c>
      <c r="N39" s="11">
        <f t="shared" si="2"/>
        <v>68801</v>
      </c>
      <c r="O39" s="12">
        <f>ROUND('[1]HPC AG N'!P39,0)</f>
        <v>3897</v>
      </c>
      <c r="P39" s="12">
        <f>ROUND('[1]HPC AG N'!Q39,0)</f>
        <v>4108</v>
      </c>
      <c r="Q39" s="13">
        <f t="shared" si="3"/>
        <v>8005</v>
      </c>
      <c r="R39" s="14">
        <f t="shared" si="4"/>
        <v>104597</v>
      </c>
      <c r="S39" s="14">
        <f t="shared" si="4"/>
        <v>105336</v>
      </c>
      <c r="T39" s="15">
        <f t="shared" si="5"/>
        <v>209933</v>
      </c>
    </row>
    <row r="40" spans="1:20" x14ac:dyDescent="0.5">
      <c r="A40" s="8">
        <v>37</v>
      </c>
      <c r="B40" s="9" t="str">
        <f>'[1]HPC AG N'!D40</f>
        <v xml:space="preserve">Jubaland  </v>
      </c>
      <c r="C40" s="9" t="str">
        <f>'[1]HPC AG N'!E40</f>
        <v>Gedo</v>
      </c>
      <c r="D40" s="9" t="str">
        <f>'[1]HPC AG N'!F40</f>
        <v>Belet Xaawo</v>
      </c>
      <c r="E40" s="9" t="str">
        <f>'[1]HPC AG N'!G40</f>
        <v>SO2603</v>
      </c>
      <c r="F40" s="10">
        <f>ROUND('[1]HPC AG N'!J40,0)</f>
        <v>20614</v>
      </c>
      <c r="G40" s="10">
        <f>ROUND('[1]HPC AG N'!K40,0)</f>
        <v>19538</v>
      </c>
      <c r="H40" s="11">
        <f t="shared" si="0"/>
        <v>40152</v>
      </c>
      <c r="I40" s="12">
        <f>ROUND('[1]HPC AG N'!L40,0)</f>
        <v>36839</v>
      </c>
      <c r="J40" s="12">
        <f>ROUND('[1]HPC AG N'!M40,0)</f>
        <v>36281</v>
      </c>
      <c r="K40" s="13">
        <f t="shared" si="1"/>
        <v>73120</v>
      </c>
      <c r="L40" s="10">
        <f>ROUND('[1]HPC AG N'!N40,0)</f>
        <v>28228</v>
      </c>
      <c r="M40" s="10">
        <f>ROUND('[1]HPC AG N'!O40,0)</f>
        <v>30310</v>
      </c>
      <c r="N40" s="11">
        <f t="shared" si="2"/>
        <v>58538</v>
      </c>
      <c r="O40" s="12">
        <f>ROUND('[1]HPC AG N'!P40,0)</f>
        <v>3316</v>
      </c>
      <c r="P40" s="12">
        <f>ROUND('[1]HPC AG N'!Q40,0)</f>
        <v>3495</v>
      </c>
      <c r="Q40" s="13">
        <f t="shared" si="3"/>
        <v>6811</v>
      </c>
      <c r="R40" s="14">
        <f t="shared" si="4"/>
        <v>88997</v>
      </c>
      <c r="S40" s="14">
        <f t="shared" si="4"/>
        <v>89624</v>
      </c>
      <c r="T40" s="15">
        <f t="shared" si="5"/>
        <v>178621</v>
      </c>
    </row>
    <row r="41" spans="1:20" x14ac:dyDescent="0.5">
      <c r="A41" s="8">
        <v>38</v>
      </c>
      <c r="B41" s="9" t="str">
        <f>'[1]HPC AG N'!D41</f>
        <v xml:space="preserve">Jubaland  </v>
      </c>
      <c r="C41" s="9" t="str">
        <f>'[1]HPC AG N'!E41</f>
        <v>Gedo</v>
      </c>
      <c r="D41" s="9" t="str">
        <f>'[1]HPC AG N'!F41</f>
        <v>Ceel Waaq</v>
      </c>
      <c r="E41" s="9" t="str">
        <f>'[1]HPC AG N'!G41</f>
        <v>SO2604</v>
      </c>
      <c r="F41" s="10">
        <f>ROUND('[1]HPC AG N'!J41,0)</f>
        <v>12319</v>
      </c>
      <c r="G41" s="10">
        <f>ROUND('[1]HPC AG N'!K41,0)</f>
        <v>11677</v>
      </c>
      <c r="H41" s="11">
        <f t="shared" si="0"/>
        <v>23996</v>
      </c>
      <c r="I41" s="12">
        <f>ROUND('[1]HPC AG N'!L41,0)</f>
        <v>22016</v>
      </c>
      <c r="J41" s="12">
        <f>ROUND('[1]HPC AG N'!M41,0)</f>
        <v>21682</v>
      </c>
      <c r="K41" s="13">
        <f t="shared" si="1"/>
        <v>43698</v>
      </c>
      <c r="L41" s="10">
        <f>ROUND('[1]HPC AG N'!N41,0)</f>
        <v>16868</v>
      </c>
      <c r="M41" s="10">
        <f>ROUND('[1]HPC AG N'!O41,0)</f>
        <v>18115</v>
      </c>
      <c r="N41" s="11">
        <f t="shared" si="2"/>
        <v>34983</v>
      </c>
      <c r="O41" s="12">
        <f>ROUND('[1]HPC AG N'!P41,0)</f>
        <v>1981</v>
      </c>
      <c r="P41" s="12">
        <f>ROUND('[1]HPC AG N'!Q41,0)</f>
        <v>2089</v>
      </c>
      <c r="Q41" s="13">
        <f t="shared" si="3"/>
        <v>4070</v>
      </c>
      <c r="R41" s="14">
        <f t="shared" si="4"/>
        <v>53184</v>
      </c>
      <c r="S41" s="14">
        <f t="shared" si="4"/>
        <v>53563</v>
      </c>
      <c r="T41" s="15">
        <f t="shared" si="5"/>
        <v>106747</v>
      </c>
    </row>
    <row r="42" spans="1:20" x14ac:dyDescent="0.5">
      <c r="A42" s="8">
        <v>39</v>
      </c>
      <c r="B42" s="9" t="str">
        <f>'[1]HPC AG N'!D42</f>
        <v xml:space="preserve">Jubaland  </v>
      </c>
      <c r="C42" s="9" t="str">
        <f>'[1]HPC AG N'!E42</f>
        <v>Gedo</v>
      </c>
      <c r="D42" s="9" t="str">
        <f>'[1]HPC AG N'!F42</f>
        <v>Doolow</v>
      </c>
      <c r="E42" s="9" t="str">
        <f>'[1]HPC AG N'!G42</f>
        <v>SO2605</v>
      </c>
      <c r="F42" s="10">
        <f>ROUND('[1]HPC AG N'!J42,0)</f>
        <v>24481</v>
      </c>
      <c r="G42" s="10">
        <f>ROUND('[1]HPC AG N'!K42,0)</f>
        <v>23204</v>
      </c>
      <c r="H42" s="11">
        <f t="shared" si="0"/>
        <v>47685</v>
      </c>
      <c r="I42" s="12">
        <f>ROUND('[1]HPC AG N'!L42,0)</f>
        <v>43750</v>
      </c>
      <c r="J42" s="12">
        <f>ROUND('[1]HPC AG N'!M42,0)</f>
        <v>43087</v>
      </c>
      <c r="K42" s="13">
        <f t="shared" si="1"/>
        <v>86837</v>
      </c>
      <c r="L42" s="10">
        <f>ROUND('[1]HPC AG N'!N42,0)</f>
        <v>33528</v>
      </c>
      <c r="M42" s="10">
        <f>ROUND('[1]HPC AG N'!O42,0)</f>
        <v>35997</v>
      </c>
      <c r="N42" s="11">
        <f t="shared" si="2"/>
        <v>69525</v>
      </c>
      <c r="O42" s="12">
        <f>ROUND('[1]HPC AG N'!P42,0)</f>
        <v>3939</v>
      </c>
      <c r="P42" s="12">
        <f>ROUND('[1]HPC AG N'!Q42,0)</f>
        <v>4151</v>
      </c>
      <c r="Q42" s="13">
        <f t="shared" si="3"/>
        <v>8090</v>
      </c>
      <c r="R42" s="14">
        <f t="shared" si="4"/>
        <v>105698</v>
      </c>
      <c r="S42" s="14">
        <f t="shared" si="4"/>
        <v>106439</v>
      </c>
      <c r="T42" s="15">
        <f t="shared" si="5"/>
        <v>212137</v>
      </c>
    </row>
    <row r="43" spans="1:20" x14ac:dyDescent="0.5">
      <c r="A43" s="8">
        <v>40</v>
      </c>
      <c r="B43" s="9" t="str">
        <f>'[1]HPC AG N'!D43</f>
        <v xml:space="preserve">Jubaland  </v>
      </c>
      <c r="C43" s="9" t="str">
        <f>'[1]HPC AG N'!E43</f>
        <v>Gedo</v>
      </c>
      <c r="D43" s="9" t="str">
        <f>'[1]HPC AG N'!F43</f>
        <v>Garbahaarey</v>
      </c>
      <c r="E43" s="9" t="str">
        <f>'[1]HPC AG N'!G43</f>
        <v>SO2601</v>
      </c>
      <c r="F43" s="10">
        <f>ROUND('[1]HPC AG N'!J43,0)</f>
        <v>17638</v>
      </c>
      <c r="G43" s="10">
        <f>ROUND('[1]HPC AG N'!K43,0)</f>
        <v>16718</v>
      </c>
      <c r="H43" s="11">
        <f t="shared" si="0"/>
        <v>34356</v>
      </c>
      <c r="I43" s="12">
        <f>ROUND('[1]HPC AG N'!L43,0)</f>
        <v>31522</v>
      </c>
      <c r="J43" s="12">
        <f>ROUND('[1]HPC AG N'!M43,0)</f>
        <v>31043</v>
      </c>
      <c r="K43" s="13">
        <f t="shared" si="1"/>
        <v>62565</v>
      </c>
      <c r="L43" s="10">
        <f>ROUND('[1]HPC AG N'!N43,0)</f>
        <v>24155</v>
      </c>
      <c r="M43" s="10">
        <f>ROUND('[1]HPC AG N'!O43,0)</f>
        <v>25937</v>
      </c>
      <c r="N43" s="11">
        <f t="shared" si="2"/>
        <v>50092</v>
      </c>
      <c r="O43" s="12">
        <f>ROUND('[1]HPC AG N'!P43,0)</f>
        <v>2837</v>
      </c>
      <c r="P43" s="12">
        <f>ROUND('[1]HPC AG N'!Q43,0)</f>
        <v>2991</v>
      </c>
      <c r="Q43" s="13">
        <f t="shared" si="3"/>
        <v>5828</v>
      </c>
      <c r="R43" s="14">
        <f t="shared" si="4"/>
        <v>76152</v>
      </c>
      <c r="S43" s="14">
        <f t="shared" si="4"/>
        <v>76689</v>
      </c>
      <c r="T43" s="15">
        <f t="shared" si="5"/>
        <v>152841</v>
      </c>
    </row>
    <row r="44" spans="1:20" x14ac:dyDescent="0.5">
      <c r="A44" s="8">
        <v>41</v>
      </c>
      <c r="B44" s="9" t="str">
        <f>'[1]HPC AG N'!D44</f>
        <v xml:space="preserve">Jubaland  </v>
      </c>
      <c r="C44" s="9" t="str">
        <f>'[1]HPC AG N'!E44</f>
        <v>Gedo</v>
      </c>
      <c r="D44" s="9" t="str">
        <f>'[1]HPC AG N'!F44</f>
        <v>Luuq</v>
      </c>
      <c r="E44" s="9" t="str">
        <f>'[1]HPC AG N'!G44</f>
        <v>SO2606</v>
      </c>
      <c r="F44" s="10">
        <f>ROUND('[1]HPC AG N'!J44,0)</f>
        <v>16808</v>
      </c>
      <c r="G44" s="10">
        <f>ROUND('[1]HPC AG N'!K44,0)</f>
        <v>15931</v>
      </c>
      <c r="H44" s="11">
        <f t="shared" si="0"/>
        <v>32739</v>
      </c>
      <c r="I44" s="12">
        <f>ROUND('[1]HPC AG N'!L44,0)</f>
        <v>30038</v>
      </c>
      <c r="J44" s="12">
        <f>ROUND('[1]HPC AG N'!M44,0)</f>
        <v>29583</v>
      </c>
      <c r="K44" s="13">
        <f t="shared" si="1"/>
        <v>59621</v>
      </c>
      <c r="L44" s="10">
        <f>ROUND('[1]HPC AG N'!N44,0)</f>
        <v>23017</v>
      </c>
      <c r="M44" s="10">
        <f>ROUND('[1]HPC AG N'!O44,0)</f>
        <v>24715</v>
      </c>
      <c r="N44" s="11">
        <f t="shared" si="2"/>
        <v>47732</v>
      </c>
      <c r="O44" s="12">
        <f>ROUND('[1]HPC AG N'!P44,0)</f>
        <v>2703</v>
      </c>
      <c r="P44" s="12">
        <f>ROUND('[1]HPC AG N'!Q44,0)</f>
        <v>2850</v>
      </c>
      <c r="Q44" s="13">
        <f t="shared" si="3"/>
        <v>5553</v>
      </c>
      <c r="R44" s="14">
        <f t="shared" si="4"/>
        <v>72566</v>
      </c>
      <c r="S44" s="14">
        <f t="shared" si="4"/>
        <v>73079</v>
      </c>
      <c r="T44" s="15">
        <f t="shared" si="5"/>
        <v>145645</v>
      </c>
    </row>
    <row r="45" spans="1:20" x14ac:dyDescent="0.5">
      <c r="A45" s="8">
        <v>42</v>
      </c>
      <c r="B45" s="9" t="str">
        <f>'[1]HPC AG N'!D45</f>
        <v xml:space="preserve">Jubaland  </v>
      </c>
      <c r="C45" s="9" t="str">
        <f>'[1]HPC AG N'!E45</f>
        <v>Lower Juba</v>
      </c>
      <c r="D45" s="9" t="str">
        <f>'[1]HPC AG N'!F45</f>
        <v>Afmadow</v>
      </c>
      <c r="E45" s="9" t="str">
        <f>'[1]HPC AG N'!G45</f>
        <v>SO2802</v>
      </c>
      <c r="F45" s="10">
        <f>ROUND('[1]HPC AG N'!J45,0)</f>
        <v>32841</v>
      </c>
      <c r="G45" s="10">
        <f>ROUND('[1]HPC AG N'!K45,0)</f>
        <v>31128</v>
      </c>
      <c r="H45" s="11">
        <f t="shared" si="0"/>
        <v>63969</v>
      </c>
      <c r="I45" s="12">
        <f>ROUND('[1]HPC AG N'!L45,0)</f>
        <v>58691</v>
      </c>
      <c r="J45" s="12">
        <f>ROUND('[1]HPC AG N'!M45,0)</f>
        <v>57802</v>
      </c>
      <c r="K45" s="13">
        <f t="shared" si="1"/>
        <v>116493</v>
      </c>
      <c r="L45" s="10">
        <f>ROUND('[1]HPC AG N'!N45,0)</f>
        <v>44974</v>
      </c>
      <c r="M45" s="10">
        <f>ROUND('[1]HPC AG N'!O45,0)</f>
        <v>48290</v>
      </c>
      <c r="N45" s="11">
        <f t="shared" si="2"/>
        <v>93264</v>
      </c>
      <c r="O45" s="12">
        <f>ROUND('[1]HPC AG N'!P45,0)</f>
        <v>5285</v>
      </c>
      <c r="P45" s="12">
        <f>ROUND('[1]HPC AG N'!Q45,0)</f>
        <v>5569</v>
      </c>
      <c r="Q45" s="13">
        <f t="shared" si="3"/>
        <v>10854</v>
      </c>
      <c r="R45" s="14">
        <f t="shared" si="4"/>
        <v>141791</v>
      </c>
      <c r="S45" s="14">
        <f t="shared" si="4"/>
        <v>142789</v>
      </c>
      <c r="T45" s="15">
        <f t="shared" si="5"/>
        <v>284580</v>
      </c>
    </row>
    <row r="46" spans="1:20" x14ac:dyDescent="0.5">
      <c r="A46" s="8">
        <v>43</v>
      </c>
      <c r="B46" s="9" t="str">
        <f>'[1]HPC AG N'!D46</f>
        <v xml:space="preserve">Jubaland  </v>
      </c>
      <c r="C46" s="9" t="str">
        <f>'[1]HPC AG N'!E46</f>
        <v>Lower Juba</v>
      </c>
      <c r="D46" s="9" t="str">
        <f>'[1]HPC AG N'!F46</f>
        <v>Badhaadhe</v>
      </c>
      <c r="E46" s="9" t="str">
        <f>'[1]HPC AG N'!G46</f>
        <v>SO2803</v>
      </c>
      <c r="F46" s="10">
        <f>ROUND('[1]HPC AG N'!J46,0)</f>
        <v>10036</v>
      </c>
      <c r="G46" s="10">
        <f>ROUND('[1]HPC AG N'!K46,0)</f>
        <v>9513</v>
      </c>
      <c r="H46" s="11">
        <f t="shared" si="0"/>
        <v>19549</v>
      </c>
      <c r="I46" s="12">
        <f>ROUND('[1]HPC AG N'!L46,0)</f>
        <v>17936</v>
      </c>
      <c r="J46" s="12">
        <f>ROUND('[1]HPC AG N'!M46,0)</f>
        <v>17664</v>
      </c>
      <c r="K46" s="13">
        <f t="shared" si="1"/>
        <v>35600</v>
      </c>
      <c r="L46" s="10">
        <f>ROUND('[1]HPC AG N'!N46,0)</f>
        <v>13743</v>
      </c>
      <c r="M46" s="10">
        <f>ROUND('[1]HPC AG N'!O46,0)</f>
        <v>14759</v>
      </c>
      <c r="N46" s="11">
        <f t="shared" si="2"/>
        <v>28502</v>
      </c>
      <c r="O46" s="12">
        <f>ROUND('[1]HPC AG N'!P46,0)</f>
        <v>1614</v>
      </c>
      <c r="P46" s="12">
        <f>ROUND('[1]HPC AG N'!Q46,0)</f>
        <v>1702</v>
      </c>
      <c r="Q46" s="13">
        <f t="shared" si="3"/>
        <v>3316</v>
      </c>
      <c r="R46" s="14">
        <f t="shared" si="4"/>
        <v>43329</v>
      </c>
      <c r="S46" s="14">
        <f t="shared" si="4"/>
        <v>43638</v>
      </c>
      <c r="T46" s="15">
        <f t="shared" si="5"/>
        <v>86967</v>
      </c>
    </row>
    <row r="47" spans="1:20" x14ac:dyDescent="0.5">
      <c r="A47" s="8">
        <v>44</v>
      </c>
      <c r="B47" s="9" t="str">
        <f>'[1]HPC AG N'!D47</f>
        <v xml:space="preserve">Jubaland  </v>
      </c>
      <c r="C47" s="9" t="str">
        <f>'[1]HPC AG N'!E47</f>
        <v>Lower Juba</v>
      </c>
      <c r="D47" s="9" t="str">
        <f>'[1]HPC AG N'!F47</f>
        <v>Jamaame</v>
      </c>
      <c r="E47" s="9" t="str">
        <f>'[1]HPC AG N'!G47</f>
        <v>SO2804</v>
      </c>
      <c r="F47" s="10">
        <f>ROUND('[1]HPC AG N'!J47,0)</f>
        <v>52235</v>
      </c>
      <c r="G47" s="10">
        <f>ROUND('[1]HPC AG N'!K47,0)</f>
        <v>49510</v>
      </c>
      <c r="H47" s="11">
        <f t="shared" si="0"/>
        <v>101745</v>
      </c>
      <c r="I47" s="12">
        <f>ROUND('[1]HPC AG N'!L47,0)</f>
        <v>93348</v>
      </c>
      <c r="J47" s="12">
        <f>ROUND('[1]HPC AG N'!M47,0)</f>
        <v>91935</v>
      </c>
      <c r="K47" s="13">
        <f t="shared" si="1"/>
        <v>185283</v>
      </c>
      <c r="L47" s="10">
        <f>ROUND('[1]HPC AG N'!N47,0)</f>
        <v>71531</v>
      </c>
      <c r="M47" s="10">
        <f>ROUND('[1]HPC AG N'!O47,0)</f>
        <v>76807</v>
      </c>
      <c r="N47" s="11">
        <f t="shared" si="2"/>
        <v>148338</v>
      </c>
      <c r="O47" s="12">
        <f>ROUND('[1]HPC AG N'!P47,0)</f>
        <v>8404</v>
      </c>
      <c r="P47" s="12">
        <f>ROUND('[1]HPC AG N'!Q47,0)</f>
        <v>8857</v>
      </c>
      <c r="Q47" s="13">
        <f t="shared" si="3"/>
        <v>17261</v>
      </c>
      <c r="R47" s="14">
        <f t="shared" si="4"/>
        <v>225518</v>
      </c>
      <c r="S47" s="14">
        <f t="shared" si="4"/>
        <v>227109</v>
      </c>
      <c r="T47" s="15">
        <f t="shared" si="5"/>
        <v>452627</v>
      </c>
    </row>
    <row r="48" spans="1:20" x14ac:dyDescent="0.5">
      <c r="A48" s="8">
        <v>45</v>
      </c>
      <c r="B48" s="9" t="str">
        <f>'[1]HPC AG N'!D48</f>
        <v xml:space="preserve">Jubaland  </v>
      </c>
      <c r="C48" s="9" t="str">
        <f>'[1]HPC AG N'!E48</f>
        <v>Lower Juba</v>
      </c>
      <c r="D48" s="9" t="str">
        <f>'[1]HPC AG N'!F48</f>
        <v>Kismaayo</v>
      </c>
      <c r="E48" s="9" t="str">
        <f>'[1]HPC AG N'!G48</f>
        <v>SO2801</v>
      </c>
      <c r="F48" s="10">
        <f>ROUND('[1]HPC AG N'!J48,0)</f>
        <v>42711</v>
      </c>
      <c r="G48" s="10">
        <f>ROUND('[1]HPC AG N'!K48,0)</f>
        <v>40483</v>
      </c>
      <c r="H48" s="11">
        <f t="shared" si="0"/>
        <v>83194</v>
      </c>
      <c r="I48" s="12">
        <f>ROUND('[1]HPC AG N'!L48,0)</f>
        <v>76330</v>
      </c>
      <c r="J48" s="12">
        <f>ROUND('[1]HPC AG N'!M48,0)</f>
        <v>75173</v>
      </c>
      <c r="K48" s="13">
        <f t="shared" si="1"/>
        <v>151503</v>
      </c>
      <c r="L48" s="10">
        <f>ROUND('[1]HPC AG N'!N48,0)</f>
        <v>58490</v>
      </c>
      <c r="M48" s="10">
        <f>ROUND('[1]HPC AG N'!O48,0)</f>
        <v>62803</v>
      </c>
      <c r="N48" s="11">
        <f t="shared" si="2"/>
        <v>121293</v>
      </c>
      <c r="O48" s="12">
        <f>ROUND('[1]HPC AG N'!P48,0)</f>
        <v>6870</v>
      </c>
      <c r="P48" s="12">
        <f>ROUND('[1]HPC AG N'!Q48,0)</f>
        <v>7242</v>
      </c>
      <c r="Q48" s="13">
        <f t="shared" si="3"/>
        <v>14112</v>
      </c>
      <c r="R48" s="14">
        <f t="shared" si="4"/>
        <v>184401</v>
      </c>
      <c r="S48" s="14">
        <f t="shared" si="4"/>
        <v>185701</v>
      </c>
      <c r="T48" s="15">
        <f t="shared" si="5"/>
        <v>370102</v>
      </c>
    </row>
    <row r="49" spans="1:20" x14ac:dyDescent="0.5">
      <c r="A49" s="8">
        <v>46</v>
      </c>
      <c r="B49" s="9" t="str">
        <f>'[1]HPC AG N'!D49</f>
        <v xml:space="preserve">Jubaland  </v>
      </c>
      <c r="C49" s="9" t="str">
        <f>'[1]HPC AG N'!E49</f>
        <v>Middle Juba</v>
      </c>
      <c r="D49" s="9" t="str">
        <f>'[1]HPC AG N'!F49</f>
        <v>Bu'aale</v>
      </c>
      <c r="E49" s="9" t="str">
        <f>'[1]HPC AG N'!G49</f>
        <v>SO2701</v>
      </c>
      <c r="F49" s="10">
        <f>ROUND('[1]HPC AG N'!J49,0)</f>
        <v>17770</v>
      </c>
      <c r="G49" s="10">
        <f>ROUND('[1]HPC AG N'!K49,0)</f>
        <v>16843</v>
      </c>
      <c r="H49" s="11">
        <f t="shared" si="0"/>
        <v>34613</v>
      </c>
      <c r="I49" s="12">
        <f>ROUND('[1]HPC AG N'!L49,0)</f>
        <v>31758</v>
      </c>
      <c r="J49" s="12">
        <f>ROUND('[1]HPC AG N'!M49,0)</f>
        <v>31276</v>
      </c>
      <c r="K49" s="13">
        <f t="shared" si="1"/>
        <v>63034</v>
      </c>
      <c r="L49" s="10">
        <f>ROUND('[1]HPC AG N'!N49,0)</f>
        <v>24333</v>
      </c>
      <c r="M49" s="10">
        <f>ROUND('[1]HPC AG N'!O49,0)</f>
        <v>26131</v>
      </c>
      <c r="N49" s="11">
        <f t="shared" si="2"/>
        <v>50464</v>
      </c>
      <c r="O49" s="12">
        <f>ROUND('[1]HPC AG N'!P49,0)</f>
        <v>2860</v>
      </c>
      <c r="P49" s="12">
        <f>ROUND('[1]HPC AG N'!Q49,0)</f>
        <v>3014</v>
      </c>
      <c r="Q49" s="13">
        <f t="shared" si="3"/>
        <v>5874</v>
      </c>
      <c r="R49" s="14">
        <f t="shared" si="4"/>
        <v>76721</v>
      </c>
      <c r="S49" s="14">
        <f t="shared" si="4"/>
        <v>77264</v>
      </c>
      <c r="T49" s="15">
        <f t="shared" si="5"/>
        <v>153985</v>
      </c>
    </row>
    <row r="50" spans="1:20" x14ac:dyDescent="0.5">
      <c r="A50" s="8">
        <v>47</v>
      </c>
      <c r="B50" s="9" t="str">
        <f>'[1]HPC AG N'!D50</f>
        <v xml:space="preserve">Jubaland  </v>
      </c>
      <c r="C50" s="9" t="str">
        <f>'[1]HPC AG N'!E50</f>
        <v>Middle Juba</v>
      </c>
      <c r="D50" s="9" t="str">
        <f>'[1]HPC AG N'!F50</f>
        <v>Jilib</v>
      </c>
      <c r="E50" s="9" t="str">
        <f>'[1]HPC AG N'!G50</f>
        <v>SO2702</v>
      </c>
      <c r="F50" s="10">
        <f>ROUND('[1]HPC AG N'!J50,0)</f>
        <v>20101</v>
      </c>
      <c r="G50" s="10">
        <f>ROUND('[1]HPC AG N'!K50,0)</f>
        <v>19053</v>
      </c>
      <c r="H50" s="11">
        <f t="shared" si="0"/>
        <v>39154</v>
      </c>
      <c r="I50" s="12">
        <f>ROUND('[1]HPC AG N'!L50,0)</f>
        <v>35923</v>
      </c>
      <c r="J50" s="12">
        <f>ROUND('[1]HPC AG N'!M50,0)</f>
        <v>35379</v>
      </c>
      <c r="K50" s="13">
        <f t="shared" si="1"/>
        <v>71302</v>
      </c>
      <c r="L50" s="10">
        <f>ROUND('[1]HPC AG N'!N50,0)</f>
        <v>27527</v>
      </c>
      <c r="M50" s="10">
        <f>ROUND('[1]HPC AG N'!O50,0)</f>
        <v>29556</v>
      </c>
      <c r="N50" s="11">
        <f t="shared" si="2"/>
        <v>57083</v>
      </c>
      <c r="O50" s="12">
        <f>ROUND('[1]HPC AG N'!P50,0)</f>
        <v>3233</v>
      </c>
      <c r="P50" s="12">
        <f>ROUND('[1]HPC AG N'!Q50,0)</f>
        <v>3410</v>
      </c>
      <c r="Q50" s="13">
        <f t="shared" si="3"/>
        <v>6643</v>
      </c>
      <c r="R50" s="14">
        <f t="shared" si="4"/>
        <v>86784</v>
      </c>
      <c r="S50" s="14">
        <f t="shared" si="4"/>
        <v>87398</v>
      </c>
      <c r="T50" s="15">
        <f t="shared" si="5"/>
        <v>174182</v>
      </c>
    </row>
    <row r="51" spans="1:20" x14ac:dyDescent="0.5">
      <c r="A51" s="8">
        <v>48</v>
      </c>
      <c r="B51" s="9" t="str">
        <f>'[1]HPC AG N'!D51</f>
        <v xml:space="preserve">Jubaland  </v>
      </c>
      <c r="C51" s="9" t="str">
        <f>'[1]HPC AG N'!E51</f>
        <v>Middle Juba</v>
      </c>
      <c r="D51" s="9" t="str">
        <f>'[1]HPC AG N'!F51</f>
        <v>Saakow</v>
      </c>
      <c r="E51" s="9" t="str">
        <f>'[1]HPC AG N'!G51</f>
        <v>SO2703</v>
      </c>
      <c r="F51" s="10">
        <f>ROUND('[1]HPC AG N'!J51,0)</f>
        <v>13311</v>
      </c>
      <c r="G51" s="10">
        <f>ROUND('[1]HPC AG N'!K51,0)</f>
        <v>12616</v>
      </c>
      <c r="H51" s="11">
        <f t="shared" si="0"/>
        <v>25927</v>
      </c>
      <c r="I51" s="12">
        <f>ROUND('[1]HPC AG N'!L51,0)</f>
        <v>23788</v>
      </c>
      <c r="J51" s="12">
        <f>ROUND('[1]HPC AG N'!M51,0)</f>
        <v>23427</v>
      </c>
      <c r="K51" s="13">
        <f t="shared" si="1"/>
        <v>47215</v>
      </c>
      <c r="L51" s="10">
        <f>ROUND('[1]HPC AG N'!N51,0)</f>
        <v>18228</v>
      </c>
      <c r="M51" s="10">
        <f>ROUND('[1]HPC AG N'!O51,0)</f>
        <v>19572</v>
      </c>
      <c r="N51" s="11">
        <f t="shared" si="2"/>
        <v>37800</v>
      </c>
      <c r="O51" s="12">
        <f>ROUND('[1]HPC AG N'!P51,0)</f>
        <v>2141</v>
      </c>
      <c r="P51" s="12">
        <f>ROUND('[1]HPC AG N'!Q51,0)</f>
        <v>2257</v>
      </c>
      <c r="Q51" s="13">
        <f t="shared" si="3"/>
        <v>4398</v>
      </c>
      <c r="R51" s="14">
        <f t="shared" si="4"/>
        <v>57468</v>
      </c>
      <c r="S51" s="14">
        <f t="shared" si="4"/>
        <v>57872</v>
      </c>
      <c r="T51" s="15">
        <f t="shared" si="5"/>
        <v>115340</v>
      </c>
    </row>
    <row r="52" spans="1:20" x14ac:dyDescent="0.5">
      <c r="A52" s="8">
        <v>49</v>
      </c>
      <c r="B52" s="9" t="str">
        <f>'[1]HPC AG N'!D52</f>
        <v xml:space="preserve">Puntland  </v>
      </c>
      <c r="C52" s="9" t="str">
        <f>'[1]HPC AG N'!E52</f>
        <v>Bari</v>
      </c>
      <c r="D52" s="9" t="str">
        <f>'[1]HPC AG N'!F52</f>
        <v>Bandarbeyla</v>
      </c>
      <c r="E52" s="9" t="str">
        <f>'[1]HPC AG N'!G52</f>
        <v>SO1602</v>
      </c>
      <c r="F52" s="10">
        <f>ROUND('[1]HPC AG N'!J52,0)</f>
        <v>5570</v>
      </c>
      <c r="G52" s="10">
        <f>ROUND('[1]HPC AG N'!K52,0)</f>
        <v>4871</v>
      </c>
      <c r="H52" s="11">
        <f t="shared" si="0"/>
        <v>10441</v>
      </c>
      <c r="I52" s="12">
        <f>ROUND('[1]HPC AG N'!L52,0)</f>
        <v>10996</v>
      </c>
      <c r="J52" s="12">
        <f>ROUND('[1]HPC AG N'!M52,0)</f>
        <v>10349</v>
      </c>
      <c r="K52" s="13">
        <f t="shared" si="1"/>
        <v>21345</v>
      </c>
      <c r="L52" s="10">
        <f>ROUND('[1]HPC AG N'!N52,0)</f>
        <v>8021</v>
      </c>
      <c r="M52" s="10">
        <f>ROUND('[1]HPC AG N'!O52,0)</f>
        <v>9446</v>
      </c>
      <c r="N52" s="11">
        <f t="shared" si="2"/>
        <v>17467</v>
      </c>
      <c r="O52" s="12">
        <f>ROUND('[1]HPC AG N'!P52,0)</f>
        <v>1192</v>
      </c>
      <c r="P52" s="12">
        <f>ROUND('[1]HPC AG N'!Q52,0)</f>
        <v>1269</v>
      </c>
      <c r="Q52" s="13">
        <f t="shared" si="3"/>
        <v>2461</v>
      </c>
      <c r="R52" s="14">
        <f t="shared" si="4"/>
        <v>25779</v>
      </c>
      <c r="S52" s="14">
        <f t="shared" si="4"/>
        <v>25935</v>
      </c>
      <c r="T52" s="15">
        <f t="shared" si="5"/>
        <v>51714</v>
      </c>
    </row>
    <row r="53" spans="1:20" x14ac:dyDescent="0.5">
      <c r="A53" s="8">
        <v>50</v>
      </c>
      <c r="B53" s="9" t="str">
        <f>'[1]HPC AG N'!D53</f>
        <v xml:space="preserve">Puntland  </v>
      </c>
      <c r="C53" s="9" t="str">
        <f>'[1]HPC AG N'!E53</f>
        <v>Bari</v>
      </c>
      <c r="D53" s="9" t="str">
        <f>'[1]HPC AG N'!F53</f>
        <v>Bossaso</v>
      </c>
      <c r="E53" s="9" t="str">
        <f>'[1]HPC AG N'!G53</f>
        <v>SO1601</v>
      </c>
      <c r="F53" s="10">
        <f>ROUND('[1]HPC AG N'!J53,0)</f>
        <v>88128</v>
      </c>
      <c r="G53" s="10">
        <f>ROUND('[1]HPC AG N'!K53,0)</f>
        <v>77061</v>
      </c>
      <c r="H53" s="11">
        <f t="shared" si="0"/>
        <v>165189</v>
      </c>
      <c r="I53" s="12">
        <f>ROUND('[1]HPC AG N'!L53,0)</f>
        <v>173961</v>
      </c>
      <c r="J53" s="12">
        <f>ROUND('[1]HPC AG N'!M53,0)</f>
        <v>163735</v>
      </c>
      <c r="K53" s="13">
        <f t="shared" si="1"/>
        <v>337696</v>
      </c>
      <c r="L53" s="10">
        <f>ROUND('[1]HPC AG N'!N53,0)</f>
        <v>126904</v>
      </c>
      <c r="M53" s="10">
        <f>ROUND('[1]HPC AG N'!O53,0)</f>
        <v>149428</v>
      </c>
      <c r="N53" s="11">
        <f t="shared" si="2"/>
        <v>276332</v>
      </c>
      <c r="O53" s="12">
        <f>ROUND('[1]HPC AG N'!P53,0)</f>
        <v>18856</v>
      </c>
      <c r="P53" s="12">
        <f>ROUND('[1]HPC AG N'!Q53,0)</f>
        <v>20085</v>
      </c>
      <c r="Q53" s="13">
        <f t="shared" si="3"/>
        <v>38941</v>
      </c>
      <c r="R53" s="14">
        <f t="shared" si="4"/>
        <v>407849</v>
      </c>
      <c r="S53" s="14">
        <f t="shared" si="4"/>
        <v>410309</v>
      </c>
      <c r="T53" s="15">
        <f t="shared" si="5"/>
        <v>818158</v>
      </c>
    </row>
    <row r="54" spans="1:20" x14ac:dyDescent="0.5">
      <c r="A54" s="8">
        <v>51</v>
      </c>
      <c r="B54" s="9" t="str">
        <f>'[1]HPC AG N'!D54</f>
        <v xml:space="preserve">Puntland  </v>
      </c>
      <c r="C54" s="9" t="str">
        <f>'[1]HPC AG N'!E54</f>
        <v>Bari</v>
      </c>
      <c r="D54" s="9" t="str">
        <f>'[1]HPC AG N'!F54</f>
        <v>Caluula</v>
      </c>
      <c r="E54" s="9" t="str">
        <f>'[1]HPC AG N'!G54</f>
        <v>SO1603</v>
      </c>
      <c r="F54" s="10">
        <f>ROUND('[1]HPC AG N'!J54,0)</f>
        <v>10612</v>
      </c>
      <c r="G54" s="10">
        <f>ROUND('[1]HPC AG N'!K54,0)</f>
        <v>9279</v>
      </c>
      <c r="H54" s="11">
        <f t="shared" si="0"/>
        <v>19891</v>
      </c>
      <c r="I54" s="12">
        <f>ROUND('[1]HPC AG N'!L54,0)</f>
        <v>20948</v>
      </c>
      <c r="J54" s="12">
        <f>ROUND('[1]HPC AG N'!M54,0)</f>
        <v>19716</v>
      </c>
      <c r="K54" s="13">
        <f t="shared" si="1"/>
        <v>40664</v>
      </c>
      <c r="L54" s="10">
        <f>ROUND('[1]HPC AG N'!N54,0)</f>
        <v>15282</v>
      </c>
      <c r="M54" s="10">
        <f>ROUND('[1]HPC AG N'!O54,0)</f>
        <v>17993</v>
      </c>
      <c r="N54" s="11">
        <f t="shared" si="2"/>
        <v>33275</v>
      </c>
      <c r="O54" s="12">
        <f>ROUND('[1]HPC AG N'!P54,0)</f>
        <v>2270</v>
      </c>
      <c r="P54" s="12">
        <f>ROUND('[1]HPC AG N'!Q54,0)</f>
        <v>2418</v>
      </c>
      <c r="Q54" s="13">
        <f t="shared" si="3"/>
        <v>4688</v>
      </c>
      <c r="R54" s="14">
        <f t="shared" si="4"/>
        <v>49112</v>
      </c>
      <c r="S54" s="14">
        <f t="shared" si="4"/>
        <v>49406</v>
      </c>
      <c r="T54" s="15">
        <f t="shared" si="5"/>
        <v>98518</v>
      </c>
    </row>
    <row r="55" spans="1:20" x14ac:dyDescent="0.5">
      <c r="A55" s="8">
        <v>52</v>
      </c>
      <c r="B55" s="9" t="str">
        <f>'[1]HPC AG N'!D55</f>
        <v xml:space="preserve">Puntland  </v>
      </c>
      <c r="C55" s="9" t="str">
        <f>'[1]HPC AG N'!E55</f>
        <v>Bari</v>
      </c>
      <c r="D55" s="9" t="str">
        <f>'[1]HPC AG N'!F55</f>
        <v>Iskushuban</v>
      </c>
      <c r="E55" s="9" t="str">
        <f>'[1]HPC AG N'!G55</f>
        <v>SO1604</v>
      </c>
      <c r="F55" s="10">
        <f>ROUND('[1]HPC AG N'!J55,0)</f>
        <v>6682</v>
      </c>
      <c r="G55" s="10">
        <f>ROUND('[1]HPC AG N'!K55,0)</f>
        <v>5843</v>
      </c>
      <c r="H55" s="11">
        <f t="shared" si="0"/>
        <v>12525</v>
      </c>
      <c r="I55" s="12">
        <f>ROUND('[1]HPC AG N'!L55,0)</f>
        <v>13189</v>
      </c>
      <c r="J55" s="12">
        <f>ROUND('[1]HPC AG N'!M55,0)</f>
        <v>12414</v>
      </c>
      <c r="K55" s="13">
        <f t="shared" si="1"/>
        <v>25603</v>
      </c>
      <c r="L55" s="10">
        <f>ROUND('[1]HPC AG N'!N55,0)</f>
        <v>9622</v>
      </c>
      <c r="M55" s="10">
        <f>ROUND('[1]HPC AG N'!O55,0)</f>
        <v>11329</v>
      </c>
      <c r="N55" s="11">
        <f t="shared" si="2"/>
        <v>20951</v>
      </c>
      <c r="O55" s="12">
        <f>ROUND('[1]HPC AG N'!P55,0)</f>
        <v>1429</v>
      </c>
      <c r="P55" s="12">
        <f>ROUND('[1]HPC AG N'!Q55,0)</f>
        <v>1522</v>
      </c>
      <c r="Q55" s="13">
        <f t="shared" si="3"/>
        <v>2951</v>
      </c>
      <c r="R55" s="14">
        <f t="shared" si="4"/>
        <v>30922</v>
      </c>
      <c r="S55" s="14">
        <f t="shared" si="4"/>
        <v>31108</v>
      </c>
      <c r="T55" s="15">
        <f t="shared" si="5"/>
        <v>62030</v>
      </c>
    </row>
    <row r="56" spans="1:20" x14ac:dyDescent="0.5">
      <c r="A56" s="8">
        <v>53</v>
      </c>
      <c r="B56" s="9" t="str">
        <f>'[1]HPC AG N'!D56</f>
        <v xml:space="preserve">Puntland  </v>
      </c>
      <c r="C56" s="9" t="str">
        <f>'[1]HPC AG N'!E56</f>
        <v>Bari</v>
      </c>
      <c r="D56" s="9" t="str">
        <f>'[1]HPC AG N'!F56</f>
        <v>Qandala</v>
      </c>
      <c r="E56" s="9" t="str">
        <f>'[1]HPC AG N'!G56</f>
        <v>SO1605</v>
      </c>
      <c r="F56" s="10">
        <f>ROUND('[1]HPC AG N'!J56,0)</f>
        <v>7153</v>
      </c>
      <c r="G56" s="10">
        <f>ROUND('[1]HPC AG N'!K56,0)</f>
        <v>6255</v>
      </c>
      <c r="H56" s="11">
        <f t="shared" si="0"/>
        <v>13408</v>
      </c>
      <c r="I56" s="12">
        <f>ROUND('[1]HPC AG N'!L56,0)</f>
        <v>14119</v>
      </c>
      <c r="J56" s="12">
        <f>ROUND('[1]HPC AG N'!M56,0)</f>
        <v>13290</v>
      </c>
      <c r="K56" s="13">
        <f t="shared" si="1"/>
        <v>27409</v>
      </c>
      <c r="L56" s="10">
        <f>ROUND('[1]HPC AG N'!N56,0)</f>
        <v>10299</v>
      </c>
      <c r="M56" s="10">
        <f>ROUND('[1]HPC AG N'!O56,0)</f>
        <v>12128</v>
      </c>
      <c r="N56" s="11">
        <f t="shared" si="2"/>
        <v>22427</v>
      </c>
      <c r="O56" s="12">
        <f>ROUND('[1]HPC AG N'!P56,0)</f>
        <v>1531</v>
      </c>
      <c r="P56" s="12">
        <f>ROUND('[1]HPC AG N'!Q56,0)</f>
        <v>1631</v>
      </c>
      <c r="Q56" s="13">
        <f t="shared" si="3"/>
        <v>3162</v>
      </c>
      <c r="R56" s="14">
        <f t="shared" si="4"/>
        <v>33102</v>
      </c>
      <c r="S56" s="14">
        <f t="shared" si="4"/>
        <v>33304</v>
      </c>
      <c r="T56" s="15">
        <f t="shared" si="5"/>
        <v>66406</v>
      </c>
    </row>
    <row r="57" spans="1:20" x14ac:dyDescent="0.5">
      <c r="A57" s="8">
        <v>54</v>
      </c>
      <c r="B57" s="9" t="str">
        <f>'[1]HPC AG N'!D57</f>
        <v xml:space="preserve">Puntland  </v>
      </c>
      <c r="C57" s="9" t="str">
        <f>'[1]HPC AG N'!E57</f>
        <v>Bari</v>
      </c>
      <c r="D57" s="9" t="str">
        <f>'[1]HPC AG N'!F57</f>
        <v>Qardho</v>
      </c>
      <c r="E57" s="9" t="str">
        <f>'[1]HPC AG N'!G57</f>
        <v>SO1606</v>
      </c>
      <c r="F57" s="10">
        <f>ROUND('[1]HPC AG N'!J57,0)</f>
        <v>18713</v>
      </c>
      <c r="G57" s="10">
        <f>ROUND('[1]HPC AG N'!K57,0)</f>
        <v>16363</v>
      </c>
      <c r="H57" s="11">
        <f t="shared" si="0"/>
        <v>35076</v>
      </c>
      <c r="I57" s="12">
        <f>ROUND('[1]HPC AG N'!L57,0)</f>
        <v>36939</v>
      </c>
      <c r="J57" s="12">
        <f>ROUND('[1]HPC AG N'!M57,0)</f>
        <v>34767</v>
      </c>
      <c r="K57" s="13">
        <f t="shared" si="1"/>
        <v>71706</v>
      </c>
      <c r="L57" s="10">
        <f>ROUND('[1]HPC AG N'!N57,0)</f>
        <v>26948</v>
      </c>
      <c r="M57" s="10">
        <f>ROUND('[1]HPC AG N'!O57,0)</f>
        <v>31729</v>
      </c>
      <c r="N57" s="11">
        <f t="shared" si="2"/>
        <v>58677</v>
      </c>
      <c r="O57" s="12">
        <f>ROUND('[1]HPC AG N'!P57,0)</f>
        <v>4003</v>
      </c>
      <c r="P57" s="12">
        <f>ROUND('[1]HPC AG N'!Q57,0)</f>
        <v>4264</v>
      </c>
      <c r="Q57" s="13">
        <f t="shared" si="3"/>
        <v>8267</v>
      </c>
      <c r="R57" s="14">
        <f t="shared" si="4"/>
        <v>86603</v>
      </c>
      <c r="S57" s="14">
        <f t="shared" si="4"/>
        <v>87123</v>
      </c>
      <c r="T57" s="15">
        <f t="shared" si="5"/>
        <v>173726</v>
      </c>
    </row>
    <row r="58" spans="1:20" x14ac:dyDescent="0.5">
      <c r="A58" s="8">
        <v>55</v>
      </c>
      <c r="B58" s="9" t="str">
        <f>'[1]HPC AG N'!D58</f>
        <v xml:space="preserve">Puntland  </v>
      </c>
      <c r="C58" s="9" t="str">
        <f>'[1]HPC AG N'!E58</f>
        <v>Nugaal</v>
      </c>
      <c r="D58" s="9" t="str">
        <f>'[1]HPC AG N'!F58</f>
        <v>Burtinle</v>
      </c>
      <c r="E58" s="9" t="str">
        <f>'[1]HPC AG N'!G58</f>
        <v>SO1702</v>
      </c>
      <c r="F58" s="10">
        <f>ROUND('[1]HPC AG N'!J58,0)</f>
        <v>14463</v>
      </c>
      <c r="G58" s="10">
        <f>ROUND('[1]HPC AG N'!K58,0)</f>
        <v>12647</v>
      </c>
      <c r="H58" s="11">
        <f t="shared" si="0"/>
        <v>27110</v>
      </c>
      <c r="I58" s="12">
        <f>ROUND('[1]HPC AG N'!L58,0)</f>
        <v>28550</v>
      </c>
      <c r="J58" s="12">
        <f>ROUND('[1]HPC AG N'!M58,0)</f>
        <v>26871</v>
      </c>
      <c r="K58" s="13">
        <f t="shared" si="1"/>
        <v>55421</v>
      </c>
      <c r="L58" s="10">
        <f>ROUND('[1]HPC AG N'!N58,0)</f>
        <v>20827</v>
      </c>
      <c r="M58" s="10">
        <f>ROUND('[1]HPC AG N'!O58,0)</f>
        <v>24524</v>
      </c>
      <c r="N58" s="11">
        <f t="shared" si="2"/>
        <v>45351</v>
      </c>
      <c r="O58" s="12">
        <f>ROUND('[1]HPC AG N'!P58,0)</f>
        <v>3095</v>
      </c>
      <c r="P58" s="12">
        <f>ROUND('[1]HPC AG N'!Q58,0)</f>
        <v>3297</v>
      </c>
      <c r="Q58" s="13">
        <f t="shared" si="3"/>
        <v>6392</v>
      </c>
      <c r="R58" s="14">
        <f t="shared" si="4"/>
        <v>66935</v>
      </c>
      <c r="S58" s="14">
        <f t="shared" si="4"/>
        <v>67339</v>
      </c>
      <c r="T58" s="15">
        <f t="shared" si="5"/>
        <v>134274</v>
      </c>
    </row>
    <row r="59" spans="1:20" x14ac:dyDescent="0.5">
      <c r="A59" s="8">
        <v>56</v>
      </c>
      <c r="B59" s="9" t="str">
        <f>'[1]HPC AG N'!D59</f>
        <v xml:space="preserve">Puntland  </v>
      </c>
      <c r="C59" s="9" t="str">
        <f>'[1]HPC AG N'!E59</f>
        <v>Nugaal</v>
      </c>
      <c r="D59" s="9" t="str">
        <f>'[1]HPC AG N'!F59</f>
        <v>Eyl</v>
      </c>
      <c r="E59" s="9" t="str">
        <f>'[1]HPC AG N'!G59</f>
        <v>SO1703</v>
      </c>
      <c r="F59" s="10">
        <f>ROUND('[1]HPC AG N'!J59,0)</f>
        <v>18881</v>
      </c>
      <c r="G59" s="10">
        <f>ROUND('[1]HPC AG N'!K59,0)</f>
        <v>16510</v>
      </c>
      <c r="H59" s="11">
        <f t="shared" si="0"/>
        <v>35391</v>
      </c>
      <c r="I59" s="12">
        <f>ROUND('[1]HPC AG N'!L59,0)</f>
        <v>37270</v>
      </c>
      <c r="J59" s="12">
        <f>ROUND('[1]HPC AG N'!M59,0)</f>
        <v>35079</v>
      </c>
      <c r="K59" s="13">
        <f t="shared" si="1"/>
        <v>72349</v>
      </c>
      <c r="L59" s="10">
        <f>ROUND('[1]HPC AG N'!N59,0)</f>
        <v>27190</v>
      </c>
      <c r="M59" s="10">
        <f>ROUND('[1]HPC AG N'!O59,0)</f>
        <v>32014</v>
      </c>
      <c r="N59" s="11">
        <f t="shared" si="2"/>
        <v>59204</v>
      </c>
      <c r="O59" s="12">
        <f>ROUND('[1]HPC AG N'!P59,0)</f>
        <v>4040</v>
      </c>
      <c r="P59" s="12">
        <f>ROUND('[1]HPC AG N'!Q59,0)</f>
        <v>4303</v>
      </c>
      <c r="Q59" s="13">
        <f t="shared" si="3"/>
        <v>8343</v>
      </c>
      <c r="R59" s="14">
        <f t="shared" si="4"/>
        <v>87381</v>
      </c>
      <c r="S59" s="14">
        <f t="shared" si="4"/>
        <v>87906</v>
      </c>
      <c r="T59" s="15">
        <f t="shared" si="5"/>
        <v>175287</v>
      </c>
    </row>
    <row r="60" spans="1:20" x14ac:dyDescent="0.5">
      <c r="A60" s="8">
        <v>57</v>
      </c>
      <c r="B60" s="9" t="str">
        <f>'[1]HPC AG N'!D60</f>
        <v xml:space="preserve">Puntland  </v>
      </c>
      <c r="C60" s="9" t="str">
        <f>'[1]HPC AG N'!E60</f>
        <v>Nugaal</v>
      </c>
      <c r="D60" s="9" t="str">
        <f>'[1]HPC AG N'!F60</f>
        <v>Garoowe</v>
      </c>
      <c r="E60" s="9" t="str">
        <f>'[1]HPC AG N'!G60</f>
        <v>SO1701</v>
      </c>
      <c r="F60" s="10">
        <f>ROUND('[1]HPC AG N'!J60,0)</f>
        <v>36828</v>
      </c>
      <c r="G60" s="10">
        <f>ROUND('[1]HPC AG N'!K60,0)</f>
        <v>32203</v>
      </c>
      <c r="H60" s="11">
        <f t="shared" si="0"/>
        <v>69031</v>
      </c>
      <c r="I60" s="12">
        <f>ROUND('[1]HPC AG N'!L60,0)</f>
        <v>72697</v>
      </c>
      <c r="J60" s="12">
        <f>ROUND('[1]HPC AG N'!M60,0)</f>
        <v>68424</v>
      </c>
      <c r="K60" s="13">
        <f t="shared" si="1"/>
        <v>141121</v>
      </c>
      <c r="L60" s="10">
        <f>ROUND('[1]HPC AG N'!N60,0)</f>
        <v>53032</v>
      </c>
      <c r="M60" s="10">
        <f>ROUND('[1]HPC AG N'!O60,0)</f>
        <v>62445</v>
      </c>
      <c r="N60" s="11">
        <f t="shared" si="2"/>
        <v>115477</v>
      </c>
      <c r="O60" s="12">
        <f>ROUND('[1]HPC AG N'!P60,0)</f>
        <v>7880</v>
      </c>
      <c r="P60" s="12">
        <f>ROUND('[1]HPC AG N'!Q60,0)</f>
        <v>8394</v>
      </c>
      <c r="Q60" s="13">
        <f t="shared" si="3"/>
        <v>16274</v>
      </c>
      <c r="R60" s="14">
        <f t="shared" si="4"/>
        <v>170437</v>
      </c>
      <c r="S60" s="14">
        <f t="shared" si="4"/>
        <v>171466</v>
      </c>
      <c r="T60" s="15">
        <f t="shared" si="5"/>
        <v>341903</v>
      </c>
    </row>
    <row r="61" spans="1:20" x14ac:dyDescent="0.5">
      <c r="A61" s="8">
        <v>58</v>
      </c>
      <c r="B61" s="9" t="str">
        <f>'[1]HPC AG N'!D61</f>
        <v xml:space="preserve">Somaliland  </v>
      </c>
      <c r="C61" s="9" t="str">
        <f>'[1]HPC AG N'!E61</f>
        <v>Awdal</v>
      </c>
      <c r="D61" s="9" t="str">
        <f>'[1]HPC AG N'!F61</f>
        <v>Baki</v>
      </c>
      <c r="E61" s="9" t="str">
        <f>'[1]HPC AG N'!G61</f>
        <v>SO1102</v>
      </c>
      <c r="F61" s="10">
        <f>ROUND('[1]HPC AG N'!J61,0)</f>
        <v>6927</v>
      </c>
      <c r="G61" s="10">
        <f>ROUND('[1]HPC AG N'!K61,0)</f>
        <v>6412</v>
      </c>
      <c r="H61" s="11">
        <f t="shared" si="0"/>
        <v>13339</v>
      </c>
      <c r="I61" s="12">
        <f>ROUND('[1]HPC AG N'!L61,0)</f>
        <v>14405</v>
      </c>
      <c r="J61" s="12">
        <f>ROUND('[1]HPC AG N'!M61,0)</f>
        <v>13543</v>
      </c>
      <c r="K61" s="13">
        <f t="shared" si="1"/>
        <v>27948</v>
      </c>
      <c r="L61" s="10">
        <f>ROUND('[1]HPC AG N'!N61,0)</f>
        <v>10971</v>
      </c>
      <c r="M61" s="10">
        <f>ROUND('[1]HPC AG N'!O61,0)</f>
        <v>12587</v>
      </c>
      <c r="N61" s="11">
        <f t="shared" si="2"/>
        <v>23558</v>
      </c>
      <c r="O61" s="12">
        <f>ROUND('[1]HPC AG N'!P61,0)</f>
        <v>1613</v>
      </c>
      <c r="P61" s="12">
        <f>ROUND('[1]HPC AG N'!Q61,0)</f>
        <v>1714</v>
      </c>
      <c r="Q61" s="13">
        <f t="shared" si="3"/>
        <v>3327</v>
      </c>
      <c r="R61" s="14">
        <f t="shared" si="4"/>
        <v>33916</v>
      </c>
      <c r="S61" s="14">
        <f t="shared" si="4"/>
        <v>34256</v>
      </c>
      <c r="T61" s="15">
        <f t="shared" si="5"/>
        <v>68172</v>
      </c>
    </row>
    <row r="62" spans="1:20" x14ac:dyDescent="0.5">
      <c r="A62" s="8">
        <v>59</v>
      </c>
      <c r="B62" s="9" t="str">
        <f>'[1]HPC AG N'!D62</f>
        <v xml:space="preserve">Somaliland  </v>
      </c>
      <c r="C62" s="9" t="str">
        <f>'[1]HPC AG N'!E62</f>
        <v>Awdal</v>
      </c>
      <c r="D62" s="9" t="str">
        <f>'[1]HPC AG N'!F62</f>
        <v>Borama</v>
      </c>
      <c r="E62" s="9" t="str">
        <f>'[1]HPC AG N'!G62</f>
        <v>SO1101</v>
      </c>
      <c r="F62" s="10">
        <f>ROUND('[1]HPC AG N'!J62,0)</f>
        <v>45218</v>
      </c>
      <c r="G62" s="10">
        <f>ROUND('[1]HPC AG N'!K62,0)</f>
        <v>41860</v>
      </c>
      <c r="H62" s="11">
        <f t="shared" si="0"/>
        <v>87078</v>
      </c>
      <c r="I62" s="12">
        <f>ROUND('[1]HPC AG N'!L62,0)</f>
        <v>94036</v>
      </c>
      <c r="J62" s="12">
        <f>ROUND('[1]HPC AG N'!M62,0)</f>
        <v>88406</v>
      </c>
      <c r="K62" s="13">
        <f t="shared" si="1"/>
        <v>182442</v>
      </c>
      <c r="L62" s="10">
        <f>ROUND('[1]HPC AG N'!N62,0)</f>
        <v>71612</v>
      </c>
      <c r="M62" s="10">
        <f>ROUND('[1]HPC AG N'!O62,0)</f>
        <v>82169</v>
      </c>
      <c r="N62" s="11">
        <f t="shared" si="2"/>
        <v>153781</v>
      </c>
      <c r="O62" s="12">
        <f>ROUND('[1]HPC AG N'!P62,0)</f>
        <v>10522</v>
      </c>
      <c r="P62" s="12">
        <f>ROUND('[1]HPC AG N'!Q62,0)</f>
        <v>11193</v>
      </c>
      <c r="Q62" s="13">
        <f t="shared" si="3"/>
        <v>21715</v>
      </c>
      <c r="R62" s="14">
        <f t="shared" si="4"/>
        <v>221388</v>
      </c>
      <c r="S62" s="14">
        <f t="shared" si="4"/>
        <v>223628</v>
      </c>
      <c r="T62" s="15">
        <f t="shared" si="5"/>
        <v>445016</v>
      </c>
    </row>
    <row r="63" spans="1:20" x14ac:dyDescent="0.5">
      <c r="A63" s="8">
        <v>60</v>
      </c>
      <c r="B63" s="9" t="str">
        <f>'[1]HPC AG N'!D63</f>
        <v xml:space="preserve">Somaliland  </v>
      </c>
      <c r="C63" s="9" t="str">
        <f>'[1]HPC AG N'!E63</f>
        <v>Awdal</v>
      </c>
      <c r="D63" s="9" t="str">
        <f>'[1]HPC AG N'!F63</f>
        <v>Lughaye</v>
      </c>
      <c r="E63" s="9" t="str">
        <f>'[1]HPC AG N'!G63</f>
        <v>SO1103</v>
      </c>
      <c r="F63" s="10">
        <f>ROUND('[1]HPC AG N'!J63,0)</f>
        <v>7537</v>
      </c>
      <c r="G63" s="10">
        <f>ROUND('[1]HPC AG N'!K63,0)</f>
        <v>6977</v>
      </c>
      <c r="H63" s="11">
        <f t="shared" si="0"/>
        <v>14514</v>
      </c>
      <c r="I63" s="12">
        <f>ROUND('[1]HPC AG N'!L63,0)</f>
        <v>15673</v>
      </c>
      <c r="J63" s="12">
        <f>ROUND('[1]HPC AG N'!M63,0)</f>
        <v>14735</v>
      </c>
      <c r="K63" s="13">
        <f t="shared" si="1"/>
        <v>30408</v>
      </c>
      <c r="L63" s="10">
        <f>ROUND('[1]HPC AG N'!N63,0)</f>
        <v>11938</v>
      </c>
      <c r="M63" s="10">
        <f>ROUND('[1]HPC AG N'!O63,0)</f>
        <v>13697</v>
      </c>
      <c r="N63" s="11">
        <f t="shared" si="2"/>
        <v>25635</v>
      </c>
      <c r="O63" s="12">
        <f>ROUND('[1]HPC AG N'!P63,0)</f>
        <v>1754</v>
      </c>
      <c r="P63" s="12">
        <f>ROUND('[1]HPC AG N'!Q63,0)</f>
        <v>1866</v>
      </c>
      <c r="Q63" s="13">
        <f t="shared" si="3"/>
        <v>3620</v>
      </c>
      <c r="R63" s="14">
        <f t="shared" si="4"/>
        <v>36902</v>
      </c>
      <c r="S63" s="14">
        <f t="shared" si="4"/>
        <v>37275</v>
      </c>
      <c r="T63" s="15">
        <f t="shared" si="5"/>
        <v>74177</v>
      </c>
    </row>
    <row r="64" spans="1:20" x14ac:dyDescent="0.5">
      <c r="A64" s="8">
        <v>61</v>
      </c>
      <c r="B64" s="9" t="str">
        <f>'[1]HPC AG N'!D64</f>
        <v xml:space="preserve">Somaliland  </v>
      </c>
      <c r="C64" s="9" t="str">
        <f>'[1]HPC AG N'!E64</f>
        <v>Awdal</v>
      </c>
      <c r="D64" s="9" t="str">
        <f>'[1]HPC AG N'!F64</f>
        <v>Zeylac</v>
      </c>
      <c r="E64" s="9" t="str">
        <f>'[1]HPC AG N'!G64</f>
        <v>SO1104</v>
      </c>
      <c r="F64" s="10">
        <f>ROUND('[1]HPC AG N'!J64,0)</f>
        <v>6963</v>
      </c>
      <c r="G64" s="10">
        <f>ROUND('[1]HPC AG N'!K64,0)</f>
        <v>6446</v>
      </c>
      <c r="H64" s="11">
        <f t="shared" si="0"/>
        <v>13409</v>
      </c>
      <c r="I64" s="12">
        <f>ROUND('[1]HPC AG N'!L64,0)</f>
        <v>14481</v>
      </c>
      <c r="J64" s="12">
        <f>ROUND('[1]HPC AG N'!M64,0)</f>
        <v>13614</v>
      </c>
      <c r="K64" s="13">
        <f t="shared" si="1"/>
        <v>28095</v>
      </c>
      <c r="L64" s="10">
        <f>ROUND('[1]HPC AG N'!N64,0)</f>
        <v>11028</v>
      </c>
      <c r="M64" s="10">
        <f>ROUND('[1]HPC AG N'!O64,0)</f>
        <v>12653</v>
      </c>
      <c r="N64" s="11">
        <f t="shared" si="2"/>
        <v>23681</v>
      </c>
      <c r="O64" s="12">
        <f>ROUND('[1]HPC AG N'!P64,0)</f>
        <v>1620</v>
      </c>
      <c r="P64" s="12">
        <f>ROUND('[1]HPC AG N'!Q64,0)</f>
        <v>1724</v>
      </c>
      <c r="Q64" s="13">
        <f t="shared" si="3"/>
        <v>3344</v>
      </c>
      <c r="R64" s="14">
        <f t="shared" si="4"/>
        <v>34092</v>
      </c>
      <c r="S64" s="14">
        <f t="shared" si="4"/>
        <v>34437</v>
      </c>
      <c r="T64" s="15">
        <f t="shared" si="5"/>
        <v>68529</v>
      </c>
    </row>
    <row r="65" spans="1:20" x14ac:dyDescent="0.5">
      <c r="A65" s="8">
        <v>62</v>
      </c>
      <c r="B65" s="9" t="str">
        <f>'[1]HPC AG N'!D65</f>
        <v xml:space="preserve">Somaliland  </v>
      </c>
      <c r="C65" s="9" t="str">
        <f>'[1]HPC AG N'!E65</f>
        <v>Sanaag</v>
      </c>
      <c r="D65" s="9" t="str">
        <f>'[1]HPC AG N'!F65</f>
        <v>Ceel Afweyn</v>
      </c>
      <c r="E65" s="9" t="str">
        <f>'[1]HPC AG N'!G65</f>
        <v>SO1502</v>
      </c>
      <c r="F65" s="10">
        <f>ROUND('[1]HPC AG N'!J65,0)</f>
        <v>9740</v>
      </c>
      <c r="G65" s="10">
        <f>ROUND('[1]HPC AG N'!K65,0)</f>
        <v>9016</v>
      </c>
      <c r="H65" s="11">
        <f t="shared" si="0"/>
        <v>18756</v>
      </c>
      <c r="I65" s="12">
        <f>ROUND('[1]HPC AG N'!L65,0)</f>
        <v>20255</v>
      </c>
      <c r="J65" s="12">
        <f>ROUND('[1]HPC AG N'!M65,0)</f>
        <v>19041</v>
      </c>
      <c r="K65" s="13">
        <f t="shared" si="1"/>
        <v>39296</v>
      </c>
      <c r="L65" s="10">
        <f>ROUND('[1]HPC AG N'!N65,0)</f>
        <v>15425</v>
      </c>
      <c r="M65" s="10">
        <f>ROUND('[1]HPC AG N'!O65,0)</f>
        <v>17698</v>
      </c>
      <c r="N65" s="11">
        <f t="shared" si="2"/>
        <v>33123</v>
      </c>
      <c r="O65" s="12">
        <f>ROUND('[1]HPC AG N'!P65,0)</f>
        <v>2266</v>
      </c>
      <c r="P65" s="12">
        <f>ROUND('[1]HPC AG N'!Q65,0)</f>
        <v>2412</v>
      </c>
      <c r="Q65" s="13">
        <f t="shared" si="3"/>
        <v>4678</v>
      </c>
      <c r="R65" s="14">
        <f t="shared" si="4"/>
        <v>47686</v>
      </c>
      <c r="S65" s="14">
        <f t="shared" si="4"/>
        <v>48167</v>
      </c>
      <c r="T65" s="15">
        <f t="shared" si="5"/>
        <v>95853</v>
      </c>
    </row>
    <row r="66" spans="1:20" x14ac:dyDescent="0.5">
      <c r="A66" s="8">
        <v>63</v>
      </c>
      <c r="B66" s="9" t="str">
        <f>'[1]HPC AG N'!D66</f>
        <v xml:space="preserve">Somaliland  </v>
      </c>
      <c r="C66" s="9" t="str">
        <f>'[1]HPC AG N'!E66</f>
        <v>Sanaag</v>
      </c>
      <c r="D66" s="9" t="str">
        <f>'[1]HPC AG N'!F66</f>
        <v>Ceerigaabo</v>
      </c>
      <c r="E66" s="9" t="str">
        <f>'[1]HPC AG N'!G66</f>
        <v>SO1501</v>
      </c>
      <c r="F66" s="10">
        <f>ROUND('[1]HPC AG N'!J66,0)</f>
        <v>18581</v>
      </c>
      <c r="G66" s="10">
        <f>ROUND('[1]HPC AG N'!K66,0)</f>
        <v>17202</v>
      </c>
      <c r="H66" s="11">
        <f t="shared" si="0"/>
        <v>35783</v>
      </c>
      <c r="I66" s="12">
        <f>ROUND('[1]HPC AG N'!L66,0)</f>
        <v>38643</v>
      </c>
      <c r="J66" s="12">
        <f>ROUND('[1]HPC AG N'!M66,0)</f>
        <v>36329</v>
      </c>
      <c r="K66" s="13">
        <f t="shared" si="1"/>
        <v>74972</v>
      </c>
      <c r="L66" s="10">
        <f>ROUND('[1]HPC AG N'!N66,0)</f>
        <v>29429</v>
      </c>
      <c r="M66" s="10">
        <f>ROUND('[1]HPC AG N'!O66,0)</f>
        <v>33766</v>
      </c>
      <c r="N66" s="11">
        <f t="shared" si="2"/>
        <v>63195</v>
      </c>
      <c r="O66" s="12">
        <f>ROUND('[1]HPC AG N'!P66,0)</f>
        <v>4324</v>
      </c>
      <c r="P66" s="12">
        <f>ROUND('[1]HPC AG N'!Q66,0)</f>
        <v>4600</v>
      </c>
      <c r="Q66" s="13">
        <f t="shared" si="3"/>
        <v>8924</v>
      </c>
      <c r="R66" s="14">
        <f t="shared" si="4"/>
        <v>90977</v>
      </c>
      <c r="S66" s="14">
        <f t="shared" si="4"/>
        <v>91897</v>
      </c>
      <c r="T66" s="15">
        <f t="shared" si="5"/>
        <v>182874</v>
      </c>
    </row>
    <row r="67" spans="1:20" x14ac:dyDescent="0.5">
      <c r="A67" s="8">
        <v>64</v>
      </c>
      <c r="B67" s="9" t="str">
        <f>'[1]HPC AG N'!D67</f>
        <v xml:space="preserve">Somaliland  </v>
      </c>
      <c r="C67" s="9" t="str">
        <f>'[1]HPC AG N'!E67</f>
        <v>Sanaag</v>
      </c>
      <c r="D67" s="9" t="str">
        <f>'[1]HPC AG N'!F67</f>
        <v>Laasqoray</v>
      </c>
      <c r="E67" s="9" t="str">
        <f>'[1]HPC AG N'!G67</f>
        <v>SO1503</v>
      </c>
      <c r="F67" s="10">
        <f>ROUND('[1]HPC AG N'!J67,0)</f>
        <v>16594</v>
      </c>
      <c r="G67" s="10">
        <f>ROUND('[1]HPC AG N'!K67,0)</f>
        <v>15362</v>
      </c>
      <c r="H67" s="11">
        <f t="shared" si="0"/>
        <v>31956</v>
      </c>
      <c r="I67" s="12">
        <f>ROUND('[1]HPC AG N'!L67,0)</f>
        <v>34509</v>
      </c>
      <c r="J67" s="12">
        <f>ROUND('[1]HPC AG N'!M67,0)</f>
        <v>32442</v>
      </c>
      <c r="K67" s="13">
        <f t="shared" si="1"/>
        <v>66951</v>
      </c>
      <c r="L67" s="10">
        <f>ROUND('[1]HPC AG N'!N67,0)</f>
        <v>26280</v>
      </c>
      <c r="M67" s="10">
        <f>ROUND('[1]HPC AG N'!O67,0)</f>
        <v>30153</v>
      </c>
      <c r="N67" s="11">
        <f t="shared" si="2"/>
        <v>56433</v>
      </c>
      <c r="O67" s="12">
        <f>ROUND('[1]HPC AG N'!P67,0)</f>
        <v>3860</v>
      </c>
      <c r="P67" s="12">
        <f>ROUND('[1]HPC AG N'!Q67,0)</f>
        <v>4107</v>
      </c>
      <c r="Q67" s="13">
        <f t="shared" si="3"/>
        <v>7967</v>
      </c>
      <c r="R67" s="14">
        <f t="shared" si="4"/>
        <v>81243</v>
      </c>
      <c r="S67" s="14">
        <f t="shared" si="4"/>
        <v>82064</v>
      </c>
      <c r="T67" s="15">
        <f t="shared" si="5"/>
        <v>163307</v>
      </c>
    </row>
    <row r="68" spans="1:20" x14ac:dyDescent="0.5">
      <c r="A68" s="8">
        <v>65</v>
      </c>
      <c r="B68" s="9" t="str">
        <f>'[1]HPC AG N'!D68</f>
        <v xml:space="preserve">Somaliland  </v>
      </c>
      <c r="C68" s="9" t="str">
        <f>'[1]HPC AG N'!E68</f>
        <v>Sool</v>
      </c>
      <c r="D68" s="9" t="str">
        <f>'[1]HPC AG N'!F68</f>
        <v>Caynabo</v>
      </c>
      <c r="E68" s="9" t="str">
        <f>'[1]HPC AG N'!G68</f>
        <v>SO1402</v>
      </c>
      <c r="F68" s="10">
        <f>ROUND('[1]HPC AG N'!J68,0)</f>
        <v>10077</v>
      </c>
      <c r="G68" s="10">
        <f>ROUND('[1]HPC AG N'!K68,0)</f>
        <v>9329</v>
      </c>
      <c r="H68" s="11">
        <f t="shared" si="0"/>
        <v>19406</v>
      </c>
      <c r="I68" s="12">
        <f>ROUND('[1]HPC AG N'!L68,0)</f>
        <v>20957</v>
      </c>
      <c r="J68" s="12">
        <f>ROUND('[1]HPC AG N'!M68,0)</f>
        <v>19702</v>
      </c>
      <c r="K68" s="13">
        <f t="shared" si="1"/>
        <v>40659</v>
      </c>
      <c r="L68" s="10">
        <f>ROUND('[1]HPC AG N'!N68,0)</f>
        <v>15960</v>
      </c>
      <c r="M68" s="10">
        <f>ROUND('[1]HPC AG N'!O68,0)</f>
        <v>18311</v>
      </c>
      <c r="N68" s="11">
        <f t="shared" si="2"/>
        <v>34271</v>
      </c>
      <c r="O68" s="12">
        <f>ROUND('[1]HPC AG N'!P68,0)</f>
        <v>2345</v>
      </c>
      <c r="P68" s="12">
        <f>ROUND('[1]HPC AG N'!Q68,0)</f>
        <v>2495</v>
      </c>
      <c r="Q68" s="13">
        <f t="shared" si="3"/>
        <v>4840</v>
      </c>
      <c r="R68" s="14">
        <f t="shared" si="4"/>
        <v>49339</v>
      </c>
      <c r="S68" s="14">
        <f t="shared" si="4"/>
        <v>49837</v>
      </c>
      <c r="T68" s="15">
        <f t="shared" si="5"/>
        <v>99176</v>
      </c>
    </row>
    <row r="69" spans="1:20" x14ac:dyDescent="0.5">
      <c r="A69" s="8">
        <v>66</v>
      </c>
      <c r="B69" s="9" t="str">
        <f>'[1]HPC AG N'!D69</f>
        <v xml:space="preserve">Somaliland  </v>
      </c>
      <c r="C69" s="9" t="str">
        <f>'[1]HPC AG N'!E69</f>
        <v>Sool</v>
      </c>
      <c r="D69" s="9" t="str">
        <f>'[1]HPC AG N'!F69</f>
        <v>Laas Caanood</v>
      </c>
      <c r="E69" s="9" t="str">
        <f>'[1]HPC AG N'!G69</f>
        <v>SO1401</v>
      </c>
      <c r="F69" s="10">
        <f>ROUND('[1]HPC AG N'!J69,0)</f>
        <v>27672</v>
      </c>
      <c r="G69" s="10">
        <f>ROUND('[1]HPC AG N'!K69,0)</f>
        <v>25617</v>
      </c>
      <c r="H69" s="11">
        <f t="shared" ref="H69:H94" si="6">G69+F69</f>
        <v>53289</v>
      </c>
      <c r="I69" s="12">
        <f>ROUND('[1]HPC AG N'!L69,0)</f>
        <v>57547</v>
      </c>
      <c r="J69" s="12">
        <f>ROUND('[1]HPC AG N'!M69,0)</f>
        <v>54100</v>
      </c>
      <c r="K69" s="13">
        <f t="shared" ref="K69:K94" si="7">J69+I69</f>
        <v>111647</v>
      </c>
      <c r="L69" s="10">
        <f>ROUND('[1]HPC AG N'!N69,0)</f>
        <v>43827</v>
      </c>
      <c r="M69" s="10">
        <f>ROUND('[1]HPC AG N'!O69,0)</f>
        <v>50286</v>
      </c>
      <c r="N69" s="11">
        <f t="shared" ref="N69:N94" si="8">M69+L69</f>
        <v>94113</v>
      </c>
      <c r="O69" s="12">
        <f>ROUND('[1]HPC AG N'!P69,0)</f>
        <v>6439</v>
      </c>
      <c r="P69" s="12">
        <f>ROUND('[1]HPC AG N'!Q69,0)</f>
        <v>6850</v>
      </c>
      <c r="Q69" s="13">
        <f t="shared" ref="Q69:Q94" si="9">P69+O69</f>
        <v>13289</v>
      </c>
      <c r="R69" s="14">
        <f t="shared" ref="R69:S94" si="10">F69+I69+L69+O69</f>
        <v>135485</v>
      </c>
      <c r="S69" s="14">
        <f t="shared" si="10"/>
        <v>136853</v>
      </c>
      <c r="T69" s="15">
        <f t="shared" ref="T69:T94" si="11">S69+R69</f>
        <v>272338</v>
      </c>
    </row>
    <row r="70" spans="1:20" x14ac:dyDescent="0.5">
      <c r="A70" s="8">
        <v>67</v>
      </c>
      <c r="B70" s="9" t="str">
        <f>'[1]HPC AG N'!D70</f>
        <v xml:space="preserve">Somaliland  </v>
      </c>
      <c r="C70" s="9" t="str">
        <f>'[1]HPC AG N'!E70</f>
        <v>Sool</v>
      </c>
      <c r="D70" s="9" t="str">
        <f>'[1]HPC AG N'!F70</f>
        <v>Taleex</v>
      </c>
      <c r="E70" s="9" t="str">
        <f>'[1]HPC AG N'!G70</f>
        <v>SO1403</v>
      </c>
      <c r="F70" s="10">
        <f>ROUND('[1]HPC AG N'!J70,0)</f>
        <v>9725</v>
      </c>
      <c r="G70" s="10">
        <f>ROUND('[1]HPC AG N'!K70,0)</f>
        <v>9003</v>
      </c>
      <c r="H70" s="11">
        <f t="shared" si="6"/>
        <v>18728</v>
      </c>
      <c r="I70" s="12">
        <f>ROUND('[1]HPC AG N'!L70,0)</f>
        <v>20224</v>
      </c>
      <c r="J70" s="12">
        <f>ROUND('[1]HPC AG N'!M70,0)</f>
        <v>19014</v>
      </c>
      <c r="K70" s="13">
        <f t="shared" si="7"/>
        <v>39238</v>
      </c>
      <c r="L70" s="10">
        <f>ROUND('[1]HPC AG N'!N70,0)</f>
        <v>15402</v>
      </c>
      <c r="M70" s="10">
        <f>ROUND('[1]HPC AG N'!O70,0)</f>
        <v>17672</v>
      </c>
      <c r="N70" s="11">
        <f t="shared" si="8"/>
        <v>33074</v>
      </c>
      <c r="O70" s="12">
        <f>ROUND('[1]HPC AG N'!P70,0)</f>
        <v>2262</v>
      </c>
      <c r="P70" s="12">
        <f>ROUND('[1]HPC AG N'!Q70,0)</f>
        <v>2407</v>
      </c>
      <c r="Q70" s="13">
        <f t="shared" si="9"/>
        <v>4669</v>
      </c>
      <c r="R70" s="14">
        <f t="shared" si="10"/>
        <v>47613</v>
      </c>
      <c r="S70" s="14">
        <f t="shared" si="10"/>
        <v>48096</v>
      </c>
      <c r="T70" s="15">
        <f t="shared" si="11"/>
        <v>95709</v>
      </c>
    </row>
    <row r="71" spans="1:20" x14ac:dyDescent="0.5">
      <c r="A71" s="8">
        <v>68</v>
      </c>
      <c r="B71" s="9" t="str">
        <f>'[1]HPC AG N'!D71</f>
        <v xml:space="preserve">Somaliland  </v>
      </c>
      <c r="C71" s="9" t="str">
        <f>'[1]HPC AG N'!E71</f>
        <v>Sool</v>
      </c>
      <c r="D71" s="9" t="str">
        <f>'[1]HPC AG N'!F71</f>
        <v>Xudun</v>
      </c>
      <c r="E71" s="9" t="str">
        <f>'[1]HPC AG N'!G71</f>
        <v>SO1404</v>
      </c>
      <c r="F71" s="10">
        <f>ROUND('[1]HPC AG N'!J71,0)</f>
        <v>10042</v>
      </c>
      <c r="G71" s="10">
        <f>ROUND('[1]HPC AG N'!K71,0)</f>
        <v>9296</v>
      </c>
      <c r="H71" s="11">
        <f t="shared" si="6"/>
        <v>19338</v>
      </c>
      <c r="I71" s="12">
        <f>ROUND('[1]HPC AG N'!L71,0)</f>
        <v>20884</v>
      </c>
      <c r="J71" s="12">
        <f>ROUND('[1]HPC AG N'!M71,0)</f>
        <v>19633</v>
      </c>
      <c r="K71" s="13">
        <f t="shared" si="7"/>
        <v>40517</v>
      </c>
      <c r="L71" s="10">
        <f>ROUND('[1]HPC AG N'!N71,0)</f>
        <v>15904</v>
      </c>
      <c r="M71" s="10">
        <f>ROUND('[1]HPC AG N'!O71,0)</f>
        <v>18249</v>
      </c>
      <c r="N71" s="11">
        <f t="shared" si="8"/>
        <v>34153</v>
      </c>
      <c r="O71" s="12">
        <f>ROUND('[1]HPC AG N'!P71,0)</f>
        <v>2336</v>
      </c>
      <c r="P71" s="12">
        <f>ROUND('[1]HPC AG N'!Q71,0)</f>
        <v>2486</v>
      </c>
      <c r="Q71" s="13">
        <f t="shared" si="9"/>
        <v>4822</v>
      </c>
      <c r="R71" s="14">
        <f t="shared" si="10"/>
        <v>49166</v>
      </c>
      <c r="S71" s="14">
        <f t="shared" si="10"/>
        <v>49664</v>
      </c>
      <c r="T71" s="15">
        <f t="shared" si="11"/>
        <v>98830</v>
      </c>
    </row>
    <row r="72" spans="1:20" x14ac:dyDescent="0.5">
      <c r="A72" s="8">
        <v>69</v>
      </c>
      <c r="B72" s="9" t="str">
        <f>'[1]HPC AG N'!D72</f>
        <v xml:space="preserve">Somaliland  </v>
      </c>
      <c r="C72" s="9" t="str">
        <f>'[1]HPC AG N'!E72</f>
        <v>Togdheer</v>
      </c>
      <c r="D72" s="9" t="str">
        <f>'[1]HPC AG N'!F72</f>
        <v>Burco</v>
      </c>
      <c r="E72" s="9" t="str">
        <f>'[1]HPC AG N'!G72</f>
        <v>SO1301</v>
      </c>
      <c r="F72" s="10">
        <f>ROUND('[1]HPC AG N'!J72,0)</f>
        <v>54523</v>
      </c>
      <c r="G72" s="10">
        <f>ROUND('[1]HPC AG N'!K72,0)</f>
        <v>50475</v>
      </c>
      <c r="H72" s="11">
        <f t="shared" si="6"/>
        <v>104998</v>
      </c>
      <c r="I72" s="12">
        <f>ROUND('[1]HPC AG N'!L72,0)</f>
        <v>113388</v>
      </c>
      <c r="J72" s="12">
        <f>ROUND('[1]HPC AG N'!M72,0)</f>
        <v>106597</v>
      </c>
      <c r="K72" s="13">
        <f t="shared" si="7"/>
        <v>219985</v>
      </c>
      <c r="L72" s="10">
        <f>ROUND('[1]HPC AG N'!N72,0)</f>
        <v>86350</v>
      </c>
      <c r="M72" s="10">
        <f>ROUND('[1]HPC AG N'!O72,0)</f>
        <v>99080</v>
      </c>
      <c r="N72" s="11">
        <f t="shared" si="8"/>
        <v>185430</v>
      </c>
      <c r="O72" s="12">
        <f>ROUND('[1]HPC AG N'!P72,0)</f>
        <v>12686</v>
      </c>
      <c r="P72" s="12">
        <f>ROUND('[1]HPC AG N'!Q72,0)</f>
        <v>13496</v>
      </c>
      <c r="Q72" s="13">
        <f t="shared" si="9"/>
        <v>26182</v>
      </c>
      <c r="R72" s="14">
        <f t="shared" si="10"/>
        <v>266947</v>
      </c>
      <c r="S72" s="14">
        <f t="shared" si="10"/>
        <v>269648</v>
      </c>
      <c r="T72" s="15">
        <f t="shared" si="11"/>
        <v>536595</v>
      </c>
    </row>
    <row r="73" spans="1:20" x14ac:dyDescent="0.5">
      <c r="A73" s="8">
        <v>70</v>
      </c>
      <c r="B73" s="9" t="str">
        <f>'[1]HPC AG N'!D73</f>
        <v xml:space="preserve">Somaliland  </v>
      </c>
      <c r="C73" s="9" t="str">
        <f>'[1]HPC AG N'!E73</f>
        <v>Togdheer</v>
      </c>
      <c r="D73" s="9" t="str">
        <f>'[1]HPC AG N'!F73</f>
        <v>Buuhoodle</v>
      </c>
      <c r="E73" s="9" t="str">
        <f>'[1]HPC AG N'!G73</f>
        <v>SO1302</v>
      </c>
      <c r="F73" s="10">
        <f>ROUND('[1]HPC AG N'!J73,0)</f>
        <v>10203</v>
      </c>
      <c r="G73" s="10">
        <f>ROUND('[1]HPC AG N'!K73,0)</f>
        <v>9446</v>
      </c>
      <c r="H73" s="11">
        <f t="shared" si="6"/>
        <v>19649</v>
      </c>
      <c r="I73" s="12">
        <f>ROUND('[1]HPC AG N'!L73,0)</f>
        <v>21219</v>
      </c>
      <c r="J73" s="12">
        <f>ROUND('[1]HPC AG N'!M73,0)</f>
        <v>19949</v>
      </c>
      <c r="K73" s="13">
        <f t="shared" si="7"/>
        <v>41168</v>
      </c>
      <c r="L73" s="10">
        <f>ROUND('[1]HPC AG N'!N73,0)</f>
        <v>16160</v>
      </c>
      <c r="M73" s="10">
        <f>ROUND('[1]HPC AG N'!O73,0)</f>
        <v>18541</v>
      </c>
      <c r="N73" s="11">
        <f t="shared" si="8"/>
        <v>34701</v>
      </c>
      <c r="O73" s="12">
        <f>ROUND('[1]HPC AG N'!P73,0)</f>
        <v>2375</v>
      </c>
      <c r="P73" s="12">
        <f>ROUND('[1]HPC AG N'!Q73,0)</f>
        <v>2526</v>
      </c>
      <c r="Q73" s="13">
        <f t="shared" si="9"/>
        <v>4901</v>
      </c>
      <c r="R73" s="14">
        <f t="shared" si="10"/>
        <v>49957</v>
      </c>
      <c r="S73" s="14">
        <f t="shared" si="10"/>
        <v>50462</v>
      </c>
      <c r="T73" s="15">
        <f t="shared" si="11"/>
        <v>100419</v>
      </c>
    </row>
    <row r="74" spans="1:20" x14ac:dyDescent="0.5">
      <c r="A74" s="8">
        <v>71</v>
      </c>
      <c r="B74" s="9" t="str">
        <f>'[1]HPC AG N'!D74</f>
        <v xml:space="preserve">Somaliland  </v>
      </c>
      <c r="C74" s="9" t="str">
        <f>'[1]HPC AG N'!E74</f>
        <v>Togdheer</v>
      </c>
      <c r="D74" s="9" t="str">
        <f>'[1]HPC AG N'!F74</f>
        <v>Owdweyne</v>
      </c>
      <c r="E74" s="9" t="str">
        <f>'[1]HPC AG N'!G74</f>
        <v>SO1303</v>
      </c>
      <c r="F74" s="10">
        <f>ROUND('[1]HPC AG N'!J74,0)</f>
        <v>10264</v>
      </c>
      <c r="G74" s="10">
        <f>ROUND('[1]HPC AG N'!K74,0)</f>
        <v>9502</v>
      </c>
      <c r="H74" s="11">
        <f t="shared" si="6"/>
        <v>19766</v>
      </c>
      <c r="I74" s="12">
        <f>ROUND('[1]HPC AG N'!L74,0)</f>
        <v>21345</v>
      </c>
      <c r="J74" s="12">
        <f>ROUND('[1]HPC AG N'!M74,0)</f>
        <v>20066</v>
      </c>
      <c r="K74" s="13">
        <f t="shared" si="7"/>
        <v>41411</v>
      </c>
      <c r="L74" s="10">
        <f>ROUND('[1]HPC AG N'!N74,0)</f>
        <v>16256</v>
      </c>
      <c r="M74" s="10">
        <f>ROUND('[1]HPC AG N'!O74,0)</f>
        <v>18651</v>
      </c>
      <c r="N74" s="11">
        <f t="shared" si="8"/>
        <v>34907</v>
      </c>
      <c r="O74" s="12">
        <f>ROUND('[1]HPC AG N'!P74,0)</f>
        <v>2387</v>
      </c>
      <c r="P74" s="12">
        <f>ROUND('[1]HPC AG N'!Q74,0)</f>
        <v>2541</v>
      </c>
      <c r="Q74" s="13">
        <f t="shared" si="9"/>
        <v>4928</v>
      </c>
      <c r="R74" s="14">
        <f t="shared" si="10"/>
        <v>50252</v>
      </c>
      <c r="S74" s="14">
        <f t="shared" si="10"/>
        <v>50760</v>
      </c>
      <c r="T74" s="15">
        <f t="shared" si="11"/>
        <v>101012</v>
      </c>
    </row>
    <row r="75" spans="1:20" x14ac:dyDescent="0.5">
      <c r="A75" s="8">
        <v>72</v>
      </c>
      <c r="B75" s="9" t="str">
        <f>'[1]HPC AG N'!D75</f>
        <v xml:space="preserve">Somaliland  </v>
      </c>
      <c r="C75" s="9" t="str">
        <f>'[1]HPC AG N'!E75</f>
        <v>Togdheer</v>
      </c>
      <c r="D75" s="9" t="str">
        <f>'[1]HPC AG N'!F75</f>
        <v>Sheikh</v>
      </c>
      <c r="E75" s="9" t="str">
        <f>'[1]HPC AG N'!G75</f>
        <v>SO1304</v>
      </c>
      <c r="F75" s="10">
        <f>ROUND('[1]HPC AG N'!J75,0)</f>
        <v>15183</v>
      </c>
      <c r="G75" s="10">
        <f>ROUND('[1]HPC AG N'!K75,0)</f>
        <v>14056</v>
      </c>
      <c r="H75" s="11">
        <f t="shared" si="6"/>
        <v>29239</v>
      </c>
      <c r="I75" s="12">
        <f>ROUND('[1]HPC AG N'!L75,0)</f>
        <v>31575</v>
      </c>
      <c r="J75" s="12">
        <f>ROUND('[1]HPC AG N'!M75,0)</f>
        <v>29685</v>
      </c>
      <c r="K75" s="13">
        <f t="shared" si="7"/>
        <v>61260</v>
      </c>
      <c r="L75" s="10">
        <f>ROUND('[1]HPC AG N'!N75,0)</f>
        <v>24046</v>
      </c>
      <c r="M75" s="10">
        <f>ROUND('[1]HPC AG N'!O75,0)</f>
        <v>27589</v>
      </c>
      <c r="N75" s="11">
        <f t="shared" si="8"/>
        <v>51635</v>
      </c>
      <c r="O75" s="12">
        <f>ROUND('[1]HPC AG N'!P75,0)</f>
        <v>3532</v>
      </c>
      <c r="P75" s="12">
        <f>ROUND('[1]HPC AG N'!Q75,0)</f>
        <v>3758</v>
      </c>
      <c r="Q75" s="13">
        <f t="shared" si="9"/>
        <v>7290</v>
      </c>
      <c r="R75" s="14">
        <f t="shared" si="10"/>
        <v>74336</v>
      </c>
      <c r="S75" s="14">
        <f t="shared" si="10"/>
        <v>75088</v>
      </c>
      <c r="T75" s="15">
        <f t="shared" si="11"/>
        <v>149424</v>
      </c>
    </row>
    <row r="76" spans="1:20" x14ac:dyDescent="0.5">
      <c r="A76" s="8">
        <v>73</v>
      </c>
      <c r="B76" s="9" t="str">
        <f>'[1]HPC AG N'!D76</f>
        <v xml:space="preserve">Somaliland  </v>
      </c>
      <c r="C76" s="9" t="str">
        <f>'[1]HPC AG N'!E76</f>
        <v>Woqooyi Galbeed</v>
      </c>
      <c r="D76" s="9" t="str">
        <f>'[1]HPC AG N'!F76</f>
        <v>Berbera</v>
      </c>
      <c r="E76" s="9" t="str">
        <f>'[1]HPC AG N'!G76</f>
        <v>SO1202</v>
      </c>
      <c r="F76" s="10">
        <f>ROUND('[1]HPC AG N'!J76,0)</f>
        <v>19900</v>
      </c>
      <c r="G76" s="10">
        <f>ROUND('[1]HPC AG N'!K76,0)</f>
        <v>18422</v>
      </c>
      <c r="H76" s="11">
        <f t="shared" si="6"/>
        <v>38322</v>
      </c>
      <c r="I76" s="12">
        <f>ROUND('[1]HPC AG N'!L76,0)</f>
        <v>41385</v>
      </c>
      <c r="J76" s="12">
        <f>ROUND('[1]HPC AG N'!M76,0)</f>
        <v>38906</v>
      </c>
      <c r="K76" s="13">
        <f t="shared" si="7"/>
        <v>80291</v>
      </c>
      <c r="L76" s="10">
        <f>ROUND('[1]HPC AG N'!N76,0)</f>
        <v>31517</v>
      </c>
      <c r="M76" s="10">
        <f>ROUND('[1]HPC AG N'!O76,0)</f>
        <v>36164</v>
      </c>
      <c r="N76" s="11">
        <f t="shared" si="8"/>
        <v>67681</v>
      </c>
      <c r="O76" s="12">
        <f>ROUND('[1]HPC AG N'!P76,0)</f>
        <v>4631</v>
      </c>
      <c r="P76" s="12">
        <f>ROUND('[1]HPC AG N'!Q76,0)</f>
        <v>4926</v>
      </c>
      <c r="Q76" s="13">
        <f t="shared" si="9"/>
        <v>9557</v>
      </c>
      <c r="R76" s="14">
        <f t="shared" si="10"/>
        <v>97433</v>
      </c>
      <c r="S76" s="14">
        <f t="shared" si="10"/>
        <v>98418</v>
      </c>
      <c r="T76" s="15">
        <f t="shared" si="11"/>
        <v>195851</v>
      </c>
    </row>
    <row r="77" spans="1:20" x14ac:dyDescent="0.5">
      <c r="A77" s="8">
        <v>74</v>
      </c>
      <c r="B77" s="9" t="str">
        <f>'[1]HPC AG N'!D77</f>
        <v xml:space="preserve">Somaliland  </v>
      </c>
      <c r="C77" s="9" t="str">
        <f>'[1]HPC AG N'!E77</f>
        <v>Woqooyi Galbeed</v>
      </c>
      <c r="D77" s="9" t="str">
        <f>'[1]HPC AG N'!F77</f>
        <v>Gebiley</v>
      </c>
      <c r="E77" s="9" t="str">
        <f>'[1]HPC AG N'!G77</f>
        <v>SO1203</v>
      </c>
      <c r="F77" s="10">
        <f>ROUND('[1]HPC AG N'!J77,0)</f>
        <v>22215</v>
      </c>
      <c r="G77" s="10">
        <f>ROUND('[1]HPC AG N'!K77,0)</f>
        <v>20565</v>
      </c>
      <c r="H77" s="11">
        <f t="shared" si="6"/>
        <v>42780</v>
      </c>
      <c r="I77" s="12">
        <f>ROUND('[1]HPC AG N'!L77,0)</f>
        <v>46198</v>
      </c>
      <c r="J77" s="12">
        <f>ROUND('[1]HPC AG N'!M77,0)</f>
        <v>43432</v>
      </c>
      <c r="K77" s="13">
        <f t="shared" si="7"/>
        <v>89630</v>
      </c>
      <c r="L77" s="10">
        <f>ROUND('[1]HPC AG N'!N77,0)</f>
        <v>35184</v>
      </c>
      <c r="M77" s="10">
        <f>ROUND('[1]HPC AG N'!O77,0)</f>
        <v>40369</v>
      </c>
      <c r="N77" s="11">
        <f t="shared" si="8"/>
        <v>75553</v>
      </c>
      <c r="O77" s="12">
        <f>ROUND('[1]HPC AG N'!P77,0)</f>
        <v>5170</v>
      </c>
      <c r="P77" s="12">
        <f>ROUND('[1]HPC AG N'!Q77,0)</f>
        <v>5500</v>
      </c>
      <c r="Q77" s="13">
        <f t="shared" si="9"/>
        <v>10670</v>
      </c>
      <c r="R77" s="14">
        <f t="shared" si="10"/>
        <v>108767</v>
      </c>
      <c r="S77" s="14">
        <f t="shared" si="10"/>
        <v>109866</v>
      </c>
      <c r="T77" s="15">
        <f t="shared" si="11"/>
        <v>218633</v>
      </c>
    </row>
    <row r="78" spans="1:20" x14ac:dyDescent="0.5">
      <c r="A78" s="8">
        <v>75</v>
      </c>
      <c r="B78" s="9" t="str">
        <f>'[1]HPC AG N'!D78</f>
        <v xml:space="preserve">Somaliland  </v>
      </c>
      <c r="C78" s="9" t="str">
        <f>'[1]HPC AG N'!E78</f>
        <v>Woqooyi Galbeed</v>
      </c>
      <c r="D78" s="9" t="str">
        <f>'[1]HPC AG N'!F78</f>
        <v>Hargeysa</v>
      </c>
      <c r="E78" s="9" t="str">
        <f>'[1]HPC AG N'!G78</f>
        <v>SO1201</v>
      </c>
      <c r="F78" s="10">
        <f>ROUND('[1]HPC AG N'!J78,0)</f>
        <v>109537</v>
      </c>
      <c r="G78" s="10">
        <f>ROUND('[1]HPC AG N'!K78,0)</f>
        <v>101403</v>
      </c>
      <c r="H78" s="11">
        <f t="shared" si="6"/>
        <v>210940</v>
      </c>
      <c r="I78" s="12">
        <f>ROUND('[1]HPC AG N'!L78,0)</f>
        <v>227797</v>
      </c>
      <c r="J78" s="12">
        <f>ROUND('[1]HPC AG N'!M78,0)</f>
        <v>214154</v>
      </c>
      <c r="K78" s="13">
        <f t="shared" si="7"/>
        <v>441951</v>
      </c>
      <c r="L78" s="10">
        <f>ROUND('[1]HPC AG N'!N78,0)</f>
        <v>173480</v>
      </c>
      <c r="M78" s="10">
        <f>ROUND('[1]HPC AG N'!O78,0)</f>
        <v>199051</v>
      </c>
      <c r="N78" s="11">
        <f t="shared" si="8"/>
        <v>372531</v>
      </c>
      <c r="O78" s="12">
        <f>ROUND('[1]HPC AG N'!P78,0)</f>
        <v>25487</v>
      </c>
      <c r="P78" s="12">
        <f>ROUND('[1]HPC AG N'!Q78,0)</f>
        <v>27113</v>
      </c>
      <c r="Q78" s="13">
        <f t="shared" si="9"/>
        <v>52600</v>
      </c>
      <c r="R78" s="14">
        <f t="shared" si="10"/>
        <v>536301</v>
      </c>
      <c r="S78" s="14">
        <f t="shared" si="10"/>
        <v>541721</v>
      </c>
      <c r="T78" s="15">
        <f t="shared" si="11"/>
        <v>1078022</v>
      </c>
    </row>
    <row r="79" spans="1:20" x14ac:dyDescent="0.5">
      <c r="A79" s="8">
        <v>76</v>
      </c>
      <c r="B79" s="9" t="str">
        <f>'[1]HPC AG N'!D79</f>
        <v xml:space="preserve">Southwest  </v>
      </c>
      <c r="C79" s="9" t="str">
        <f>'[1]HPC AG N'!E79</f>
        <v>Bakool</v>
      </c>
      <c r="D79" s="9" t="str">
        <f>'[1]HPC AG N'!F79</f>
        <v>Ceel Barde</v>
      </c>
      <c r="E79" s="9" t="str">
        <f>'[1]HPC AG N'!G79</f>
        <v>SO2502</v>
      </c>
      <c r="F79" s="10">
        <f>ROUND('[1]HPC AG N'!J79,0)</f>
        <v>8834</v>
      </c>
      <c r="G79" s="10">
        <f>ROUND('[1]HPC AG N'!K79,0)</f>
        <v>8178</v>
      </c>
      <c r="H79" s="11">
        <f t="shared" si="6"/>
        <v>17012</v>
      </c>
      <c r="I79" s="12">
        <f>ROUND('[1]HPC AG N'!L79,0)</f>
        <v>18372</v>
      </c>
      <c r="J79" s="12">
        <f>ROUND('[1]HPC AG N'!M79,0)</f>
        <v>17271</v>
      </c>
      <c r="K79" s="13">
        <f t="shared" si="7"/>
        <v>35643</v>
      </c>
      <c r="L79" s="10">
        <f>ROUND('[1]HPC AG N'!N79,0)</f>
        <v>13990</v>
      </c>
      <c r="M79" s="10">
        <f>ROUND('[1]HPC AG N'!O79,0)</f>
        <v>16052</v>
      </c>
      <c r="N79" s="11">
        <f t="shared" si="8"/>
        <v>30042</v>
      </c>
      <c r="O79" s="12">
        <f>ROUND('[1]HPC AG N'!P79,0)</f>
        <v>2055</v>
      </c>
      <c r="P79" s="12">
        <f>ROUND('[1]HPC AG N'!Q79,0)</f>
        <v>2187</v>
      </c>
      <c r="Q79" s="13">
        <f t="shared" si="9"/>
        <v>4242</v>
      </c>
      <c r="R79" s="14">
        <f t="shared" si="10"/>
        <v>43251</v>
      </c>
      <c r="S79" s="14">
        <f t="shared" si="10"/>
        <v>43688</v>
      </c>
      <c r="T79" s="15">
        <f t="shared" si="11"/>
        <v>86939</v>
      </c>
    </row>
    <row r="80" spans="1:20" x14ac:dyDescent="0.5">
      <c r="A80" s="8">
        <v>77</v>
      </c>
      <c r="B80" s="9" t="str">
        <f>'[1]HPC AG N'!D80</f>
        <v xml:space="preserve">Southwest  </v>
      </c>
      <c r="C80" s="9" t="str">
        <f>'[1]HPC AG N'!E80</f>
        <v>Bakool</v>
      </c>
      <c r="D80" s="9" t="str">
        <f>'[1]HPC AG N'!F80</f>
        <v>Rab Dhuure</v>
      </c>
      <c r="E80" s="9" t="str">
        <f>'[1]HPC AG N'!G80</f>
        <v>SO2505</v>
      </c>
      <c r="F80" s="10">
        <f>ROUND('[1]HPC AG N'!J80,0)</f>
        <v>9366</v>
      </c>
      <c r="G80" s="10">
        <f>ROUND('[1]HPC AG N'!K80,0)</f>
        <v>8671</v>
      </c>
      <c r="H80" s="11">
        <f t="shared" si="6"/>
        <v>18037</v>
      </c>
      <c r="I80" s="12">
        <f>ROUND('[1]HPC AG N'!L80,0)</f>
        <v>19478</v>
      </c>
      <c r="J80" s="12">
        <f>ROUND('[1]HPC AG N'!M80,0)</f>
        <v>18311</v>
      </c>
      <c r="K80" s="13">
        <f t="shared" si="7"/>
        <v>37789</v>
      </c>
      <c r="L80" s="10">
        <f>ROUND('[1]HPC AG N'!N80,0)</f>
        <v>14834</v>
      </c>
      <c r="M80" s="10">
        <f>ROUND('[1]HPC AG N'!O80,0)</f>
        <v>17019</v>
      </c>
      <c r="N80" s="11">
        <f t="shared" si="8"/>
        <v>31853</v>
      </c>
      <c r="O80" s="12">
        <f>ROUND('[1]HPC AG N'!P80,0)</f>
        <v>2179</v>
      </c>
      <c r="P80" s="12">
        <f>ROUND('[1]HPC AG N'!Q80,0)</f>
        <v>2318</v>
      </c>
      <c r="Q80" s="13">
        <f t="shared" si="9"/>
        <v>4497</v>
      </c>
      <c r="R80" s="14">
        <f t="shared" si="10"/>
        <v>45857</v>
      </c>
      <c r="S80" s="14">
        <f t="shared" si="10"/>
        <v>46319</v>
      </c>
      <c r="T80" s="15">
        <f t="shared" si="11"/>
        <v>92176</v>
      </c>
    </row>
    <row r="81" spans="1:20" x14ac:dyDescent="0.5">
      <c r="A81" s="8">
        <v>78</v>
      </c>
      <c r="B81" s="9" t="str">
        <f>'[1]HPC AG N'!D81</f>
        <v xml:space="preserve">Southwest  </v>
      </c>
      <c r="C81" s="9" t="str">
        <f>'[1]HPC AG N'!E81</f>
        <v>Bakool</v>
      </c>
      <c r="D81" s="9" t="str">
        <f>'[1]HPC AG N'!F81</f>
        <v>Tayeeglow</v>
      </c>
      <c r="E81" s="9" t="str">
        <f>'[1]HPC AG N'!G81</f>
        <v>SO2503</v>
      </c>
      <c r="F81" s="10">
        <f>ROUND('[1]HPC AG N'!J81,0)</f>
        <v>17301</v>
      </c>
      <c r="G81" s="10">
        <f>ROUND('[1]HPC AG N'!K81,0)</f>
        <v>16016</v>
      </c>
      <c r="H81" s="11">
        <f t="shared" si="6"/>
        <v>33317</v>
      </c>
      <c r="I81" s="12">
        <f>ROUND('[1]HPC AG N'!L81,0)</f>
        <v>35980</v>
      </c>
      <c r="J81" s="12">
        <f>ROUND('[1]HPC AG N'!M81,0)</f>
        <v>33824</v>
      </c>
      <c r="K81" s="13">
        <f t="shared" si="7"/>
        <v>69804</v>
      </c>
      <c r="L81" s="10">
        <f>ROUND('[1]HPC AG N'!N81,0)</f>
        <v>27399</v>
      </c>
      <c r="M81" s="10">
        <f>ROUND('[1]HPC AG N'!O81,0)</f>
        <v>31439</v>
      </c>
      <c r="N81" s="11">
        <f t="shared" si="8"/>
        <v>58838</v>
      </c>
      <c r="O81" s="12">
        <f>ROUND('[1]HPC AG N'!P81,0)</f>
        <v>4025</v>
      </c>
      <c r="P81" s="12">
        <f>ROUND('[1]HPC AG N'!Q81,0)</f>
        <v>4283</v>
      </c>
      <c r="Q81" s="13">
        <f t="shared" si="9"/>
        <v>8308</v>
      </c>
      <c r="R81" s="14">
        <f t="shared" si="10"/>
        <v>84705</v>
      </c>
      <c r="S81" s="14">
        <f t="shared" si="10"/>
        <v>85562</v>
      </c>
      <c r="T81" s="15">
        <f t="shared" si="11"/>
        <v>170267</v>
      </c>
    </row>
    <row r="82" spans="1:20" x14ac:dyDescent="0.5">
      <c r="A82" s="8">
        <v>79</v>
      </c>
      <c r="B82" s="9" t="str">
        <f>'[1]HPC AG N'!D82</f>
        <v xml:space="preserve">Southwest  </v>
      </c>
      <c r="C82" s="9" t="str">
        <f>'[1]HPC AG N'!E82</f>
        <v>Bakool</v>
      </c>
      <c r="D82" s="9" t="str">
        <f>'[1]HPC AG N'!F82</f>
        <v>Waajid</v>
      </c>
      <c r="E82" s="9" t="str">
        <f>'[1]HPC AG N'!G82</f>
        <v>SO2504</v>
      </c>
      <c r="F82" s="10">
        <f>ROUND('[1]HPC AG N'!J82,0)</f>
        <v>9386</v>
      </c>
      <c r="G82" s="10">
        <f>ROUND('[1]HPC AG N'!K82,0)</f>
        <v>8689</v>
      </c>
      <c r="H82" s="11">
        <f t="shared" si="6"/>
        <v>18075</v>
      </c>
      <c r="I82" s="12">
        <f>ROUND('[1]HPC AG N'!L82,0)</f>
        <v>19518</v>
      </c>
      <c r="J82" s="12">
        <f>ROUND('[1]HPC AG N'!M82,0)</f>
        <v>18351</v>
      </c>
      <c r="K82" s="13">
        <f t="shared" si="7"/>
        <v>37869</v>
      </c>
      <c r="L82" s="10">
        <f>ROUND('[1]HPC AG N'!N82,0)</f>
        <v>14864</v>
      </c>
      <c r="M82" s="10">
        <f>ROUND('[1]HPC AG N'!O82,0)</f>
        <v>17056</v>
      </c>
      <c r="N82" s="11">
        <f t="shared" si="8"/>
        <v>31920</v>
      </c>
      <c r="O82" s="12">
        <f>ROUND('[1]HPC AG N'!P82,0)</f>
        <v>2184</v>
      </c>
      <c r="P82" s="12">
        <f>ROUND('[1]HPC AG N'!Q82,0)</f>
        <v>2323</v>
      </c>
      <c r="Q82" s="13">
        <f t="shared" si="9"/>
        <v>4507</v>
      </c>
      <c r="R82" s="14">
        <f t="shared" si="10"/>
        <v>45952</v>
      </c>
      <c r="S82" s="14">
        <f t="shared" si="10"/>
        <v>46419</v>
      </c>
      <c r="T82" s="15">
        <f t="shared" si="11"/>
        <v>92371</v>
      </c>
    </row>
    <row r="83" spans="1:20" x14ac:dyDescent="0.5">
      <c r="A83" s="8">
        <v>80</v>
      </c>
      <c r="B83" s="9" t="str">
        <f>'[1]HPC AG N'!D83</f>
        <v xml:space="preserve">Southwest  </v>
      </c>
      <c r="C83" s="9" t="str">
        <f>'[1]HPC AG N'!E83</f>
        <v>Bakool</v>
      </c>
      <c r="D83" s="9" t="str">
        <f>'[1]HPC AG N'!F83</f>
        <v>Xudur</v>
      </c>
      <c r="E83" s="9" t="str">
        <f>'[1]HPC AG N'!G83</f>
        <v>SO2501</v>
      </c>
      <c r="F83" s="10">
        <f>ROUND('[1]HPC AG N'!J83,0)</f>
        <v>12042</v>
      </c>
      <c r="G83" s="10">
        <f>ROUND('[1]HPC AG N'!K83,0)</f>
        <v>11148</v>
      </c>
      <c r="H83" s="11">
        <f t="shared" si="6"/>
        <v>23190</v>
      </c>
      <c r="I83" s="12">
        <f>ROUND('[1]HPC AG N'!L83,0)</f>
        <v>25043</v>
      </c>
      <c r="J83" s="12">
        <f>ROUND('[1]HPC AG N'!M83,0)</f>
        <v>23544</v>
      </c>
      <c r="K83" s="13">
        <f t="shared" si="7"/>
        <v>48587</v>
      </c>
      <c r="L83" s="10">
        <f>ROUND('[1]HPC AG N'!N83,0)</f>
        <v>19072</v>
      </c>
      <c r="M83" s="10">
        <f>ROUND('[1]HPC AG N'!O83,0)</f>
        <v>21882</v>
      </c>
      <c r="N83" s="11">
        <f t="shared" si="8"/>
        <v>40954</v>
      </c>
      <c r="O83" s="12">
        <f>ROUND('[1]HPC AG N'!P83,0)</f>
        <v>2803</v>
      </c>
      <c r="P83" s="12">
        <f>ROUND('[1]HPC AG N'!Q83,0)</f>
        <v>2980</v>
      </c>
      <c r="Q83" s="13">
        <f t="shared" si="9"/>
        <v>5783</v>
      </c>
      <c r="R83" s="14">
        <f t="shared" si="10"/>
        <v>58960</v>
      </c>
      <c r="S83" s="14">
        <f t="shared" si="10"/>
        <v>59554</v>
      </c>
      <c r="T83" s="15">
        <f t="shared" si="11"/>
        <v>118514</v>
      </c>
    </row>
    <row r="84" spans="1:20" x14ac:dyDescent="0.5">
      <c r="A84" s="8">
        <v>81</v>
      </c>
      <c r="B84" s="9" t="str">
        <f>'[1]HPC AG N'!D84</f>
        <v xml:space="preserve">Southwest  </v>
      </c>
      <c r="C84" s="9" t="str">
        <f>'[1]HPC AG N'!E84</f>
        <v>Bay</v>
      </c>
      <c r="D84" s="9" t="str">
        <f>'[1]HPC AG N'!F84</f>
        <v>Baydhaba</v>
      </c>
      <c r="E84" s="9" t="str">
        <f>'[1]HPC AG N'!G84</f>
        <v>SO2401</v>
      </c>
      <c r="F84" s="10">
        <f>ROUND('[1]HPC AG N'!J84,0)</f>
        <v>76865</v>
      </c>
      <c r="G84" s="10">
        <f>ROUND('[1]HPC AG N'!K84,0)</f>
        <v>71157</v>
      </c>
      <c r="H84" s="11">
        <f t="shared" si="6"/>
        <v>148022</v>
      </c>
      <c r="I84" s="12">
        <f>ROUND('[1]HPC AG N'!L84,0)</f>
        <v>159851</v>
      </c>
      <c r="J84" s="12">
        <f>ROUND('[1]HPC AG N'!M84,0)</f>
        <v>150278</v>
      </c>
      <c r="K84" s="13">
        <f t="shared" si="7"/>
        <v>310129</v>
      </c>
      <c r="L84" s="10">
        <f>ROUND('[1]HPC AG N'!N84,0)</f>
        <v>121735</v>
      </c>
      <c r="M84" s="10">
        <f>ROUND('[1]HPC AG N'!O84,0)</f>
        <v>139680</v>
      </c>
      <c r="N84" s="11">
        <f t="shared" si="8"/>
        <v>261415</v>
      </c>
      <c r="O84" s="12">
        <f>ROUND('[1]HPC AG N'!P84,0)</f>
        <v>17885</v>
      </c>
      <c r="P84" s="12">
        <f>ROUND('[1]HPC AG N'!Q84,0)</f>
        <v>19026</v>
      </c>
      <c r="Q84" s="13">
        <f t="shared" si="9"/>
        <v>36911</v>
      </c>
      <c r="R84" s="14">
        <f t="shared" si="10"/>
        <v>376336</v>
      </c>
      <c r="S84" s="14">
        <f t="shared" si="10"/>
        <v>380141</v>
      </c>
      <c r="T84" s="15">
        <f t="shared" si="11"/>
        <v>756477</v>
      </c>
    </row>
    <row r="85" spans="1:20" x14ac:dyDescent="0.5">
      <c r="A85" s="8">
        <v>82</v>
      </c>
      <c r="B85" s="9" t="str">
        <f>'[1]HPC AG N'!D85</f>
        <v xml:space="preserve">Southwest  </v>
      </c>
      <c r="C85" s="9" t="str">
        <f>'[1]HPC AG N'!E85</f>
        <v>Bay</v>
      </c>
      <c r="D85" s="9" t="str">
        <f>'[1]HPC AG N'!F85</f>
        <v>Buur Hakaba</v>
      </c>
      <c r="E85" s="9" t="str">
        <f>'[1]HPC AG N'!G85</f>
        <v>SO2402</v>
      </c>
      <c r="F85" s="10">
        <f>ROUND('[1]HPC AG N'!J85,0)</f>
        <v>21398</v>
      </c>
      <c r="G85" s="10">
        <f>ROUND('[1]HPC AG N'!K85,0)</f>
        <v>19809</v>
      </c>
      <c r="H85" s="11">
        <f t="shared" si="6"/>
        <v>41207</v>
      </c>
      <c r="I85" s="12">
        <f>ROUND('[1]HPC AG N'!L85,0)</f>
        <v>44499</v>
      </c>
      <c r="J85" s="12">
        <f>ROUND('[1]HPC AG N'!M85,0)</f>
        <v>41833</v>
      </c>
      <c r="K85" s="13">
        <f t="shared" si="7"/>
        <v>86332</v>
      </c>
      <c r="L85" s="10">
        <f>ROUND('[1]HPC AG N'!N85,0)</f>
        <v>33889</v>
      </c>
      <c r="M85" s="10">
        <f>ROUND('[1]HPC AG N'!O85,0)</f>
        <v>38883</v>
      </c>
      <c r="N85" s="11">
        <f t="shared" si="8"/>
        <v>72772</v>
      </c>
      <c r="O85" s="12">
        <f>ROUND('[1]HPC AG N'!P85,0)</f>
        <v>4979</v>
      </c>
      <c r="P85" s="12">
        <f>ROUND('[1]HPC AG N'!Q85,0)</f>
        <v>5297</v>
      </c>
      <c r="Q85" s="13">
        <f t="shared" si="9"/>
        <v>10276</v>
      </c>
      <c r="R85" s="14">
        <f t="shared" si="10"/>
        <v>104765</v>
      </c>
      <c r="S85" s="14">
        <f t="shared" si="10"/>
        <v>105822</v>
      </c>
      <c r="T85" s="15">
        <f t="shared" si="11"/>
        <v>210587</v>
      </c>
    </row>
    <row r="86" spans="1:20" x14ac:dyDescent="0.5">
      <c r="A86" s="8">
        <v>83</v>
      </c>
      <c r="B86" s="9" t="str">
        <f>'[1]HPC AG N'!D86</f>
        <v xml:space="preserve">Southwest  </v>
      </c>
      <c r="C86" s="9" t="str">
        <f>'[1]HPC AG N'!E86</f>
        <v>Bay</v>
      </c>
      <c r="D86" s="9" t="str">
        <f>'[1]HPC AG N'!F86</f>
        <v>Diinsoor</v>
      </c>
      <c r="E86" s="9" t="str">
        <f>'[1]HPC AG N'!G86</f>
        <v>SO2403</v>
      </c>
      <c r="F86" s="10">
        <f>ROUND('[1]HPC AG N'!J86,0)</f>
        <v>18206</v>
      </c>
      <c r="G86" s="10">
        <f>ROUND('[1]HPC AG N'!K86,0)</f>
        <v>16855</v>
      </c>
      <c r="H86" s="11">
        <f t="shared" si="6"/>
        <v>35061</v>
      </c>
      <c r="I86" s="12">
        <f>ROUND('[1]HPC AG N'!L86,0)</f>
        <v>37863</v>
      </c>
      <c r="J86" s="12">
        <f>ROUND('[1]HPC AG N'!M86,0)</f>
        <v>35595</v>
      </c>
      <c r="K86" s="13">
        <f t="shared" si="7"/>
        <v>73458</v>
      </c>
      <c r="L86" s="10">
        <f>ROUND('[1]HPC AG N'!N86,0)</f>
        <v>28834</v>
      </c>
      <c r="M86" s="10">
        <f>ROUND('[1]HPC AG N'!O86,0)</f>
        <v>33085</v>
      </c>
      <c r="N86" s="11">
        <f t="shared" si="8"/>
        <v>61919</v>
      </c>
      <c r="O86" s="12">
        <f>ROUND('[1]HPC AG N'!P86,0)</f>
        <v>4235</v>
      </c>
      <c r="P86" s="12">
        <f>ROUND('[1]HPC AG N'!Q86,0)</f>
        <v>4507</v>
      </c>
      <c r="Q86" s="13">
        <f t="shared" si="9"/>
        <v>8742</v>
      </c>
      <c r="R86" s="14">
        <f t="shared" si="10"/>
        <v>89138</v>
      </c>
      <c r="S86" s="14">
        <f t="shared" si="10"/>
        <v>90042</v>
      </c>
      <c r="T86" s="15">
        <f t="shared" si="11"/>
        <v>179180</v>
      </c>
    </row>
    <row r="87" spans="1:20" x14ac:dyDescent="0.5">
      <c r="A87" s="8">
        <v>84</v>
      </c>
      <c r="B87" s="9" t="str">
        <f>'[1]HPC AG N'!D87</f>
        <v xml:space="preserve">Southwest  </v>
      </c>
      <c r="C87" s="9" t="str">
        <f>'[1]HPC AG N'!E87</f>
        <v>Bay</v>
      </c>
      <c r="D87" s="9" t="str">
        <f>'[1]HPC AG N'!F87</f>
        <v>Qansax Dheere</v>
      </c>
      <c r="E87" s="9" t="str">
        <f>'[1]HPC AG N'!G87</f>
        <v>SO2404</v>
      </c>
      <c r="F87" s="10">
        <f>ROUND('[1]HPC AG N'!J87,0)</f>
        <v>14281</v>
      </c>
      <c r="G87" s="10">
        <f>ROUND('[1]HPC AG N'!K87,0)</f>
        <v>13220</v>
      </c>
      <c r="H87" s="11">
        <f t="shared" si="6"/>
        <v>27501</v>
      </c>
      <c r="I87" s="12">
        <f>ROUND('[1]HPC AG N'!L87,0)</f>
        <v>29698</v>
      </c>
      <c r="J87" s="12">
        <f>ROUND('[1]HPC AG N'!M87,0)</f>
        <v>27920</v>
      </c>
      <c r="K87" s="13">
        <f t="shared" si="7"/>
        <v>57618</v>
      </c>
      <c r="L87" s="10">
        <f>ROUND('[1]HPC AG N'!N87,0)</f>
        <v>22617</v>
      </c>
      <c r="M87" s="10">
        <f>ROUND('[1]HPC AG N'!O87,0)</f>
        <v>25951</v>
      </c>
      <c r="N87" s="11">
        <f t="shared" si="8"/>
        <v>48568</v>
      </c>
      <c r="O87" s="12">
        <f>ROUND('[1]HPC AG N'!P87,0)</f>
        <v>3322</v>
      </c>
      <c r="P87" s="12">
        <f>ROUND('[1]HPC AG N'!Q87,0)</f>
        <v>3534</v>
      </c>
      <c r="Q87" s="13">
        <f t="shared" si="9"/>
        <v>6856</v>
      </c>
      <c r="R87" s="14">
        <f t="shared" si="10"/>
        <v>69918</v>
      </c>
      <c r="S87" s="14">
        <f t="shared" si="10"/>
        <v>70625</v>
      </c>
      <c r="T87" s="15">
        <f t="shared" si="11"/>
        <v>140543</v>
      </c>
    </row>
    <row r="88" spans="1:20" x14ac:dyDescent="0.5">
      <c r="A88" s="8">
        <v>85</v>
      </c>
      <c r="B88" s="9" t="str">
        <f>'[1]HPC AG N'!D88</f>
        <v xml:space="preserve">Southwest  </v>
      </c>
      <c r="C88" s="9" t="str">
        <f>'[1]HPC AG N'!E88</f>
        <v>Lower Shabelle</v>
      </c>
      <c r="D88" s="9" t="str">
        <f>'[1]HPC AG N'!F88</f>
        <v>Afgooye</v>
      </c>
      <c r="E88" s="9" t="str">
        <f>'[1]HPC AG N'!G88</f>
        <v>SO2302</v>
      </c>
      <c r="F88" s="10">
        <f>ROUND('[1]HPC AG N'!J88,0)</f>
        <v>58474</v>
      </c>
      <c r="G88" s="10">
        <f>ROUND('[1]HPC AG N'!K88,0)</f>
        <v>54132</v>
      </c>
      <c r="H88" s="11">
        <f t="shared" si="6"/>
        <v>112606</v>
      </c>
      <c r="I88" s="12">
        <f>ROUND('[1]HPC AG N'!L88,0)</f>
        <v>121603</v>
      </c>
      <c r="J88" s="12">
        <f>ROUND('[1]HPC AG N'!M88,0)</f>
        <v>114321</v>
      </c>
      <c r="K88" s="13">
        <f t="shared" si="7"/>
        <v>235924</v>
      </c>
      <c r="L88" s="10">
        <f>ROUND('[1]HPC AG N'!N88,0)</f>
        <v>92608</v>
      </c>
      <c r="M88" s="10">
        <f>ROUND('[1]HPC AG N'!O88,0)</f>
        <v>106259</v>
      </c>
      <c r="N88" s="11">
        <f t="shared" si="8"/>
        <v>198867</v>
      </c>
      <c r="O88" s="12">
        <f>ROUND('[1]HPC AG N'!P88,0)</f>
        <v>13605</v>
      </c>
      <c r="P88" s="12">
        <f>ROUND('[1]HPC AG N'!Q88,0)</f>
        <v>14474</v>
      </c>
      <c r="Q88" s="13">
        <f t="shared" si="9"/>
        <v>28079</v>
      </c>
      <c r="R88" s="14">
        <f t="shared" si="10"/>
        <v>286290</v>
      </c>
      <c r="S88" s="14">
        <f t="shared" si="10"/>
        <v>289186</v>
      </c>
      <c r="T88" s="15">
        <f t="shared" si="11"/>
        <v>575476</v>
      </c>
    </row>
    <row r="89" spans="1:20" x14ac:dyDescent="0.5">
      <c r="A89" s="8">
        <v>86</v>
      </c>
      <c r="B89" s="9" t="str">
        <f>'[1]HPC AG N'!D89</f>
        <v xml:space="preserve">Southwest  </v>
      </c>
      <c r="C89" s="9" t="str">
        <f>'[1]HPC AG N'!E89</f>
        <v>Lower Shabelle</v>
      </c>
      <c r="D89" s="9" t="str">
        <f>'[1]HPC AG N'!F89</f>
        <v>Baraawe</v>
      </c>
      <c r="E89" s="9" t="str">
        <f>'[1]HPC AG N'!G89</f>
        <v>SO2303</v>
      </c>
      <c r="F89" s="10">
        <f>ROUND('[1]HPC AG N'!J89,0)</f>
        <v>6783</v>
      </c>
      <c r="G89" s="10">
        <f>ROUND('[1]HPC AG N'!K89,0)</f>
        <v>6279</v>
      </c>
      <c r="H89" s="11">
        <f t="shared" si="6"/>
        <v>13062</v>
      </c>
      <c r="I89" s="12">
        <f>ROUND('[1]HPC AG N'!L89,0)</f>
        <v>14105</v>
      </c>
      <c r="J89" s="12">
        <f>ROUND('[1]HPC AG N'!M89,0)</f>
        <v>13261</v>
      </c>
      <c r="K89" s="13">
        <f t="shared" si="7"/>
        <v>27366</v>
      </c>
      <c r="L89" s="10">
        <f>ROUND('[1]HPC AG N'!N89,0)</f>
        <v>10742</v>
      </c>
      <c r="M89" s="10">
        <f>ROUND('[1]HPC AG N'!O89,0)</f>
        <v>12325</v>
      </c>
      <c r="N89" s="11">
        <f t="shared" si="8"/>
        <v>23067</v>
      </c>
      <c r="O89" s="12">
        <f>ROUND('[1]HPC AG N'!P89,0)</f>
        <v>1578</v>
      </c>
      <c r="P89" s="12">
        <f>ROUND('[1]HPC AG N'!Q89,0)</f>
        <v>1679</v>
      </c>
      <c r="Q89" s="13">
        <f t="shared" si="9"/>
        <v>3257</v>
      </c>
      <c r="R89" s="14">
        <f t="shared" si="10"/>
        <v>33208</v>
      </c>
      <c r="S89" s="14">
        <f t="shared" si="10"/>
        <v>33544</v>
      </c>
      <c r="T89" s="15">
        <f t="shared" si="11"/>
        <v>66752</v>
      </c>
    </row>
    <row r="90" spans="1:20" x14ac:dyDescent="0.5">
      <c r="A90" s="8">
        <v>87</v>
      </c>
      <c r="B90" s="9" t="str">
        <f>'[1]HPC AG N'!D90</f>
        <v xml:space="preserve">Southwest  </v>
      </c>
      <c r="C90" s="9" t="str">
        <f>'[1]HPC AG N'!E90</f>
        <v>Lower Shabelle</v>
      </c>
      <c r="D90" s="9" t="str">
        <f>'[1]HPC AG N'!F90</f>
        <v>Kurtunwaarey</v>
      </c>
      <c r="E90" s="9" t="str">
        <f>'[1]HPC AG N'!G90</f>
        <v>SO2304</v>
      </c>
      <c r="F90" s="10">
        <f>ROUND('[1]HPC AG N'!J90,0)</f>
        <v>7983</v>
      </c>
      <c r="G90" s="10">
        <f>ROUND('[1]HPC AG N'!K90,0)</f>
        <v>7390</v>
      </c>
      <c r="H90" s="11">
        <f t="shared" si="6"/>
        <v>15373</v>
      </c>
      <c r="I90" s="12">
        <f>ROUND('[1]HPC AG N'!L90,0)</f>
        <v>16601</v>
      </c>
      <c r="J90" s="12">
        <f>ROUND('[1]HPC AG N'!M90,0)</f>
        <v>15607</v>
      </c>
      <c r="K90" s="13">
        <f t="shared" si="7"/>
        <v>32208</v>
      </c>
      <c r="L90" s="10">
        <f>ROUND('[1]HPC AG N'!N90,0)</f>
        <v>12643</v>
      </c>
      <c r="M90" s="10">
        <f>ROUND('[1]HPC AG N'!O90,0)</f>
        <v>14507</v>
      </c>
      <c r="N90" s="11">
        <f t="shared" si="8"/>
        <v>27150</v>
      </c>
      <c r="O90" s="12">
        <f>ROUND('[1]HPC AG N'!P90,0)</f>
        <v>1858</v>
      </c>
      <c r="P90" s="12">
        <f>ROUND('[1]HPC AG N'!Q90,0)</f>
        <v>1976</v>
      </c>
      <c r="Q90" s="13">
        <f t="shared" si="9"/>
        <v>3834</v>
      </c>
      <c r="R90" s="14">
        <f t="shared" si="10"/>
        <v>39085</v>
      </c>
      <c r="S90" s="14">
        <f t="shared" si="10"/>
        <v>39480</v>
      </c>
      <c r="T90" s="15">
        <f t="shared" si="11"/>
        <v>78565</v>
      </c>
    </row>
    <row r="91" spans="1:20" x14ac:dyDescent="0.5">
      <c r="A91" s="8">
        <v>88</v>
      </c>
      <c r="B91" s="9" t="str">
        <f>'[1]HPC AG N'!D91</f>
        <v xml:space="preserve">Southwest  </v>
      </c>
      <c r="C91" s="9" t="str">
        <f>'[1]HPC AG N'!E91</f>
        <v>Lower Shabelle</v>
      </c>
      <c r="D91" s="9" t="str">
        <f>'[1]HPC AG N'!F91</f>
        <v>Marka</v>
      </c>
      <c r="E91" s="9" t="str">
        <f>'[1]HPC AG N'!G91</f>
        <v>SO2301</v>
      </c>
      <c r="F91" s="10">
        <f>ROUND('[1]HPC AG N'!J91,0)</f>
        <v>30595</v>
      </c>
      <c r="G91" s="10">
        <f>ROUND('[1]HPC AG N'!K91,0)</f>
        <v>28323</v>
      </c>
      <c r="H91" s="11">
        <f t="shared" si="6"/>
        <v>58918</v>
      </c>
      <c r="I91" s="12">
        <f>ROUND('[1]HPC AG N'!L91,0)</f>
        <v>63627</v>
      </c>
      <c r="J91" s="12">
        <f>ROUND('[1]HPC AG N'!M91,0)</f>
        <v>59816</v>
      </c>
      <c r="K91" s="13">
        <f t="shared" si="7"/>
        <v>123443</v>
      </c>
      <c r="L91" s="10">
        <f>ROUND('[1]HPC AG N'!N91,0)</f>
        <v>48455</v>
      </c>
      <c r="M91" s="10">
        <f>ROUND('[1]HPC AG N'!O91,0)</f>
        <v>55598</v>
      </c>
      <c r="N91" s="11">
        <f t="shared" si="8"/>
        <v>104053</v>
      </c>
      <c r="O91" s="12">
        <f>ROUND('[1]HPC AG N'!P91,0)</f>
        <v>7119</v>
      </c>
      <c r="P91" s="12">
        <f>ROUND('[1]HPC AG N'!Q91,0)</f>
        <v>7573</v>
      </c>
      <c r="Q91" s="13">
        <f t="shared" si="9"/>
        <v>14692</v>
      </c>
      <c r="R91" s="14">
        <f t="shared" si="10"/>
        <v>149796</v>
      </c>
      <c r="S91" s="14">
        <f t="shared" si="10"/>
        <v>151310</v>
      </c>
      <c r="T91" s="15">
        <f t="shared" si="11"/>
        <v>301106</v>
      </c>
    </row>
    <row r="92" spans="1:20" x14ac:dyDescent="0.5">
      <c r="A92" s="8">
        <v>89</v>
      </c>
      <c r="B92" s="9" t="str">
        <f>'[1]HPC AG N'!D92</f>
        <v xml:space="preserve">Southwest  </v>
      </c>
      <c r="C92" s="9" t="str">
        <f>'[1]HPC AG N'!E92</f>
        <v>Lower Shabelle</v>
      </c>
      <c r="D92" s="9" t="str">
        <f>'[1]HPC AG N'!F92</f>
        <v>Qoryooley</v>
      </c>
      <c r="E92" s="9" t="str">
        <f>'[1]HPC AG N'!G92</f>
        <v>SO2305</v>
      </c>
      <c r="F92" s="10">
        <f>ROUND('[1]HPC AG N'!J92,0)</f>
        <v>15670</v>
      </c>
      <c r="G92" s="10">
        <f>ROUND('[1]HPC AG N'!K92,0)</f>
        <v>14506</v>
      </c>
      <c r="H92" s="11">
        <f t="shared" si="6"/>
        <v>30176</v>
      </c>
      <c r="I92" s="12">
        <f>ROUND('[1]HPC AG N'!L92,0)</f>
        <v>32587</v>
      </c>
      <c r="J92" s="12">
        <f>ROUND('[1]HPC AG N'!M92,0)</f>
        <v>30635</v>
      </c>
      <c r="K92" s="13">
        <f t="shared" si="7"/>
        <v>63222</v>
      </c>
      <c r="L92" s="10">
        <f>ROUND('[1]HPC AG N'!N92,0)</f>
        <v>24816</v>
      </c>
      <c r="M92" s="10">
        <f>ROUND('[1]HPC AG N'!O92,0)</f>
        <v>28476</v>
      </c>
      <c r="N92" s="11">
        <f t="shared" si="8"/>
        <v>53292</v>
      </c>
      <c r="O92" s="12">
        <f>ROUND('[1]HPC AG N'!P92,0)</f>
        <v>3646</v>
      </c>
      <c r="P92" s="12">
        <f>ROUND('[1]HPC AG N'!Q92,0)</f>
        <v>3879</v>
      </c>
      <c r="Q92" s="13">
        <f t="shared" si="9"/>
        <v>7525</v>
      </c>
      <c r="R92" s="14">
        <f t="shared" si="10"/>
        <v>76719</v>
      </c>
      <c r="S92" s="14">
        <f t="shared" si="10"/>
        <v>77496</v>
      </c>
      <c r="T92" s="15">
        <f t="shared" si="11"/>
        <v>154215</v>
      </c>
    </row>
    <row r="93" spans="1:20" x14ac:dyDescent="0.5">
      <c r="A93" s="8">
        <v>90</v>
      </c>
      <c r="B93" s="9" t="str">
        <f>'[1]HPC AG N'!D93</f>
        <v xml:space="preserve">Southwest  </v>
      </c>
      <c r="C93" s="9" t="str">
        <f>'[1]HPC AG N'!E93</f>
        <v>Lower Shabelle</v>
      </c>
      <c r="D93" s="9" t="str">
        <f>'[1]HPC AG N'!F93</f>
        <v>Sablaale</v>
      </c>
      <c r="E93" s="9" t="str">
        <f>'[1]HPC AG N'!G93</f>
        <v>SO2306</v>
      </c>
      <c r="F93" s="10">
        <f>ROUND('[1]HPC AG N'!J93,0)</f>
        <v>7838</v>
      </c>
      <c r="G93" s="10">
        <f>ROUND('[1]HPC AG N'!K93,0)</f>
        <v>7256</v>
      </c>
      <c r="H93" s="11">
        <f t="shared" si="6"/>
        <v>15094</v>
      </c>
      <c r="I93" s="12">
        <f>ROUND('[1]HPC AG N'!L93,0)</f>
        <v>16299</v>
      </c>
      <c r="J93" s="12">
        <f>ROUND('[1]HPC AG N'!M93,0)</f>
        <v>15323</v>
      </c>
      <c r="K93" s="13">
        <f t="shared" si="7"/>
        <v>31622</v>
      </c>
      <c r="L93" s="10">
        <f>ROUND('[1]HPC AG N'!N93,0)</f>
        <v>12413</v>
      </c>
      <c r="M93" s="10">
        <f>ROUND('[1]HPC AG N'!O93,0)</f>
        <v>14242</v>
      </c>
      <c r="N93" s="11">
        <f t="shared" si="8"/>
        <v>26655</v>
      </c>
      <c r="O93" s="12">
        <f>ROUND('[1]HPC AG N'!P93,0)</f>
        <v>1823</v>
      </c>
      <c r="P93" s="12">
        <f>ROUND('[1]HPC AG N'!Q93,0)</f>
        <v>1941</v>
      </c>
      <c r="Q93" s="13">
        <f t="shared" si="9"/>
        <v>3764</v>
      </c>
      <c r="R93" s="14">
        <f t="shared" si="10"/>
        <v>38373</v>
      </c>
      <c r="S93" s="14">
        <f t="shared" si="10"/>
        <v>38762</v>
      </c>
      <c r="T93" s="15">
        <f t="shared" si="11"/>
        <v>77135</v>
      </c>
    </row>
    <row r="94" spans="1:20" x14ac:dyDescent="0.5">
      <c r="A94" s="8">
        <v>91</v>
      </c>
      <c r="B94" s="9" t="str">
        <f>'[1]HPC AG N'!D94</f>
        <v xml:space="preserve">Southwest  </v>
      </c>
      <c r="C94" s="9" t="str">
        <f>'[1]HPC AG N'!E94</f>
        <v>Lower Shabelle</v>
      </c>
      <c r="D94" s="9" t="str">
        <f>'[1]HPC AG N'!F94</f>
        <v>Wanla Weyn</v>
      </c>
      <c r="E94" s="9" t="str">
        <f>'[1]HPC AG N'!G94</f>
        <v>SO2307</v>
      </c>
      <c r="F94" s="10">
        <f>ROUND('[1]HPC AG N'!J94,0)</f>
        <v>39568</v>
      </c>
      <c r="G94" s="10">
        <f>ROUND('[1]HPC AG N'!K94,0)</f>
        <v>36630</v>
      </c>
      <c r="H94" s="11">
        <f t="shared" si="6"/>
        <v>76198</v>
      </c>
      <c r="I94" s="12">
        <f>ROUND('[1]HPC AG N'!L94,0)</f>
        <v>82288</v>
      </c>
      <c r="J94" s="12">
        <f>ROUND('[1]HPC AG N'!M94,0)</f>
        <v>77360</v>
      </c>
      <c r="K94" s="13">
        <f t="shared" si="7"/>
        <v>159648</v>
      </c>
      <c r="L94" s="10">
        <f>ROUND('[1]HPC AG N'!N94,0)</f>
        <v>62667</v>
      </c>
      <c r="M94" s="10">
        <f>ROUND('[1]HPC AG N'!O94,0)</f>
        <v>71903</v>
      </c>
      <c r="N94" s="11">
        <f t="shared" si="8"/>
        <v>134570</v>
      </c>
      <c r="O94" s="12">
        <f>ROUND('[1]HPC AG N'!P94,0)</f>
        <v>9207</v>
      </c>
      <c r="P94" s="12">
        <f>ROUND('[1]HPC AG N'!Q94,0)</f>
        <v>9795</v>
      </c>
      <c r="Q94" s="13">
        <f t="shared" si="9"/>
        <v>19002</v>
      </c>
      <c r="R94" s="14">
        <f t="shared" si="10"/>
        <v>193730</v>
      </c>
      <c r="S94" s="14">
        <f t="shared" si="10"/>
        <v>195688</v>
      </c>
      <c r="T94" s="15">
        <f t="shared" si="11"/>
        <v>389418</v>
      </c>
    </row>
    <row r="95" spans="1:20" ht="14.7" thickBot="1" x14ac:dyDescent="0.55000000000000004">
      <c r="A95" s="83" t="s">
        <v>20</v>
      </c>
      <c r="B95" s="84"/>
      <c r="C95" s="84"/>
      <c r="D95" s="85"/>
      <c r="E95" s="16"/>
      <c r="F95" s="17">
        <f>SUM(F4:F94)</f>
        <v>2026601</v>
      </c>
      <c r="G95" s="17">
        <f t="shared" ref="G95:T95" si="12">SUM(G4:G94)</f>
        <v>1871270</v>
      </c>
      <c r="H95" s="17">
        <f t="shared" si="12"/>
        <v>3897871</v>
      </c>
      <c r="I95" s="18">
        <f t="shared" si="12"/>
        <v>4078224</v>
      </c>
      <c r="J95" s="18">
        <f t="shared" si="12"/>
        <v>3873240</v>
      </c>
      <c r="K95" s="18">
        <f t="shared" si="12"/>
        <v>7951464</v>
      </c>
      <c r="L95" s="17">
        <f t="shared" si="12"/>
        <v>3049246</v>
      </c>
      <c r="M95" s="17">
        <f t="shared" si="12"/>
        <v>3475252</v>
      </c>
      <c r="N95" s="17">
        <f t="shared" si="12"/>
        <v>6524498</v>
      </c>
      <c r="O95" s="18">
        <f t="shared" si="12"/>
        <v>441128</v>
      </c>
      <c r="P95" s="18">
        <f t="shared" si="12"/>
        <v>465889</v>
      </c>
      <c r="Q95" s="18">
        <f t="shared" si="12"/>
        <v>907017</v>
      </c>
      <c r="R95" s="19">
        <f t="shared" si="12"/>
        <v>9595199</v>
      </c>
      <c r="S95" s="19">
        <f t="shared" si="12"/>
        <v>9685651</v>
      </c>
      <c r="T95" s="20">
        <f t="shared" si="12"/>
        <v>19280850</v>
      </c>
    </row>
    <row r="96" spans="1:20" ht="14.7" thickTop="1" x14ac:dyDescent="0.5"/>
  </sheetData>
  <mergeCells count="1">
    <mergeCell ref="A95:D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2D-317C-45AD-982E-05FF7D52F7D2}">
  <dimension ref="A1:R23"/>
  <sheetViews>
    <sheetView workbookViewId="0">
      <selection activeCell="E37" sqref="E37"/>
    </sheetView>
  </sheetViews>
  <sheetFormatPr defaultRowHeight="14.35" x14ac:dyDescent="0.5"/>
  <cols>
    <col min="1" max="1" width="4" bestFit="1" customWidth="1"/>
    <col min="2" max="2" width="11.3515625" hidden="1" customWidth="1"/>
    <col min="3" max="3" width="16.1171875" bestFit="1" customWidth="1"/>
    <col min="4" max="18" width="10.76171875" customWidth="1"/>
    <col min="23" max="23" width="7.41015625" bestFit="1" customWidth="1"/>
    <col min="24" max="24" width="4.3515625" bestFit="1" customWidth="1"/>
    <col min="25" max="25" width="4" bestFit="1" customWidth="1"/>
    <col min="26" max="26" width="10" bestFit="1" customWidth="1"/>
    <col min="27" max="27" width="5.41015625" bestFit="1" customWidth="1"/>
    <col min="28" max="28" width="6.52734375" bestFit="1" customWidth="1"/>
    <col min="29" max="29" width="10" bestFit="1" customWidth="1"/>
    <col min="30" max="30" width="13.64453125" bestFit="1" customWidth="1"/>
    <col min="31" max="31" width="10.87890625" bestFit="1" customWidth="1"/>
    <col min="32" max="32" width="14.52734375" bestFit="1" customWidth="1"/>
    <col min="33" max="33" width="6.41015625" bestFit="1" customWidth="1"/>
    <col min="34" max="34" width="6.76171875" bestFit="1" customWidth="1"/>
    <col min="35" max="35" width="7" bestFit="1" customWidth="1"/>
    <col min="36" max="36" width="4.64453125" bestFit="1" customWidth="1"/>
    <col min="37" max="37" width="8.52734375" bestFit="1" customWidth="1"/>
    <col min="38" max="38" width="15.76171875" bestFit="1" customWidth="1"/>
    <col min="39" max="39" width="10.52734375" bestFit="1" customWidth="1"/>
    <col min="40" max="40" width="12.52734375" bestFit="1" customWidth="1"/>
    <col min="41" max="41" width="15.41015625" bestFit="1" customWidth="1"/>
    <col min="42" max="42" width="16.234375" bestFit="1" customWidth="1"/>
    <col min="43" max="43" width="19.1171875" bestFit="1" customWidth="1"/>
    <col min="44" max="45" width="10.234375" bestFit="1" customWidth="1"/>
    <col min="46" max="46" width="10.87890625" bestFit="1" customWidth="1"/>
    <col min="47" max="47" width="9.1171875" bestFit="1" customWidth="1"/>
    <col min="48" max="49" width="11.234375" bestFit="1" customWidth="1"/>
    <col min="50" max="50" width="11.41015625" bestFit="1" customWidth="1"/>
    <col min="51" max="51" width="11.234375" bestFit="1" customWidth="1"/>
    <col min="52" max="52" width="9.1171875" bestFit="1" customWidth="1"/>
    <col min="53" max="53" width="11.234375" bestFit="1" customWidth="1"/>
    <col min="54" max="54" width="13.1171875" bestFit="1" customWidth="1"/>
    <col min="55" max="55" width="17.41015625" bestFit="1" customWidth="1"/>
    <col min="56" max="56" width="20.3515625" bestFit="1" customWidth="1"/>
    <col min="57" max="57" width="10.52734375" bestFit="1" customWidth="1"/>
  </cols>
  <sheetData>
    <row r="1" spans="1:18" ht="20.7" x14ac:dyDescent="0.7">
      <c r="C1" s="1" t="s">
        <v>21</v>
      </c>
    </row>
    <row r="2" spans="1:18" ht="14.7" thickBot="1" x14ac:dyDescent="0.55000000000000004"/>
    <row r="3" spans="1:18" ht="29" thickTop="1" x14ac:dyDescent="0.5">
      <c r="A3" s="2" t="s">
        <v>1</v>
      </c>
      <c r="B3" s="3" t="s">
        <v>2</v>
      </c>
      <c r="C3" s="3" t="s">
        <v>3</v>
      </c>
      <c r="D3" s="4" t="s">
        <v>6</v>
      </c>
      <c r="E3" s="4" t="s">
        <v>7</v>
      </c>
      <c r="F3" s="4" t="s">
        <v>8</v>
      </c>
      <c r="G3" s="5" t="s">
        <v>9</v>
      </c>
      <c r="H3" s="5" t="s">
        <v>10</v>
      </c>
      <c r="I3" s="5" t="s">
        <v>11</v>
      </c>
      <c r="J3" s="4" t="s">
        <v>12</v>
      </c>
      <c r="K3" s="4" t="s">
        <v>13</v>
      </c>
      <c r="L3" s="4" t="s">
        <v>14</v>
      </c>
      <c r="M3" s="5" t="s">
        <v>15</v>
      </c>
      <c r="N3" s="5" t="s">
        <v>16</v>
      </c>
      <c r="O3" s="5" t="s">
        <v>17</v>
      </c>
      <c r="P3" s="6" t="s">
        <v>18</v>
      </c>
      <c r="Q3" s="6" t="s">
        <v>19</v>
      </c>
      <c r="R3" s="7" t="s">
        <v>20</v>
      </c>
    </row>
    <row r="4" spans="1:18" x14ac:dyDescent="0.5">
      <c r="A4" s="8">
        <v>1</v>
      </c>
      <c r="B4" s="9" t="str">
        <f>'[1]HPC AG N'!D4</f>
        <v xml:space="preserve">Banadir  </v>
      </c>
      <c r="C4" s="21" t="s">
        <v>22</v>
      </c>
      <c r="D4" s="10" t="e">
        <f>SUMIF([1]District_F!$C$4:$C$94,[1]Region_F!$C4,[1]District_F!F$4:F$94)</f>
        <v>#VALUE!</v>
      </c>
      <c r="E4" s="10" t="e">
        <f>SUMIF([1]District_F!$C$4:$C$94,[1]Region_F!$C4,[1]District_F!G$4:G$94)</f>
        <v>#VALUE!</v>
      </c>
      <c r="F4" s="11" t="e">
        <f>D4+E4</f>
        <v>#VALUE!</v>
      </c>
      <c r="G4" s="12" t="e">
        <f>SUMIF([1]District_F!$C$4:$C$94,[1]Region_F!$C4,[1]District_F!I$4:I$94)</f>
        <v>#VALUE!</v>
      </c>
      <c r="H4" s="12" t="e">
        <f>SUMIF([1]District_F!$C$4:$C$94,[1]Region_F!$C4,[1]District_F!J$4:J$94)</f>
        <v>#VALUE!</v>
      </c>
      <c r="I4" s="13" t="e">
        <f>G4+H4</f>
        <v>#VALUE!</v>
      </c>
      <c r="J4" s="10" t="e">
        <f>SUMIF([1]District_F!$C$4:$C$94,[1]Region_F!$C4,[1]District_F!L$4:L$94)</f>
        <v>#VALUE!</v>
      </c>
      <c r="K4" s="10" t="e">
        <f>SUMIF([1]District_F!$C$4:$C$94,[1]Region_F!$C4,[1]District_F!M$4:M$94)</f>
        <v>#VALUE!</v>
      </c>
      <c r="L4" s="11" t="e">
        <f>J4+K4</f>
        <v>#VALUE!</v>
      </c>
      <c r="M4" s="12" t="e">
        <f>SUMIF([1]District_F!$C$4:$C$94,[1]Region_F!$C4,[1]District_F!O$4:O$94)</f>
        <v>#VALUE!</v>
      </c>
      <c r="N4" s="12" t="e">
        <f>SUMIF([1]District_F!$C$4:$C$94,[1]Region_F!$C4,[1]District_F!P$4:P$94)</f>
        <v>#VALUE!</v>
      </c>
      <c r="O4" s="13" t="e">
        <f>M4+N4</f>
        <v>#VALUE!</v>
      </c>
      <c r="P4" s="14" t="e">
        <f t="shared" ref="P4:Q19" si="0">D4+G4+J4+M4</f>
        <v>#VALUE!</v>
      </c>
      <c r="Q4" s="14" t="e">
        <f t="shared" si="0"/>
        <v>#VALUE!</v>
      </c>
      <c r="R4" s="15" t="e">
        <f t="shared" ref="R4:R21" si="1">Q4+P4</f>
        <v>#VALUE!</v>
      </c>
    </row>
    <row r="5" spans="1:18" x14ac:dyDescent="0.5">
      <c r="A5" s="8">
        <v>2</v>
      </c>
      <c r="B5" s="22" t="s">
        <v>23</v>
      </c>
      <c r="C5" s="21" t="s">
        <v>24</v>
      </c>
      <c r="D5" s="10" t="e">
        <f>SUMIF([1]District_F!$C$4:$C$94,[1]Region_F!$C5,[1]District_F!F$4:F$94)</f>
        <v>#VALUE!</v>
      </c>
      <c r="E5" s="10" t="e">
        <f>SUMIF([1]District_F!$C$4:$C$94,[1]Region_F!$C5,[1]District_F!G$4:G$94)</f>
        <v>#VALUE!</v>
      </c>
      <c r="F5" s="11" t="e">
        <f t="shared" ref="F5:F21" si="2">D5+E5</f>
        <v>#VALUE!</v>
      </c>
      <c r="G5" s="12" t="e">
        <f>SUMIF([1]District_F!$C$4:$C$94,[1]Region_F!$C5,[1]District_F!I$4:I$94)</f>
        <v>#VALUE!</v>
      </c>
      <c r="H5" s="12" t="e">
        <f>SUMIF([1]District_F!$C$4:$C$94,[1]Region_F!$C5,[1]District_F!J$4:J$94)</f>
        <v>#VALUE!</v>
      </c>
      <c r="I5" s="13" t="e">
        <f t="shared" ref="I5:I21" si="3">G5+H5</f>
        <v>#VALUE!</v>
      </c>
      <c r="J5" s="10" t="e">
        <f>SUMIF([1]District_F!$C$4:$C$94,[1]Region_F!$C5,[1]District_F!L$4:L$94)</f>
        <v>#VALUE!</v>
      </c>
      <c r="K5" s="10" t="e">
        <f>SUMIF([1]District_F!$C$4:$C$94,[1]Region_F!$C5,[1]District_F!M$4:M$94)</f>
        <v>#VALUE!</v>
      </c>
      <c r="L5" s="11" t="e">
        <f t="shared" ref="L5:L21" si="4">J5+K5</f>
        <v>#VALUE!</v>
      </c>
      <c r="M5" s="12" t="e">
        <f>SUMIF([1]District_F!$C$4:$C$94,[1]Region_F!$C5,[1]District_F!O$4:O$94)</f>
        <v>#VALUE!</v>
      </c>
      <c r="N5" s="12" t="e">
        <f>SUMIF([1]District_F!$C$4:$C$94,[1]Region_F!$C5,[1]District_F!P$4:P$94)</f>
        <v>#VALUE!</v>
      </c>
      <c r="O5" s="13" t="e">
        <f t="shared" ref="O5:O21" si="5">M5+N5</f>
        <v>#VALUE!</v>
      </c>
      <c r="P5" s="14" t="e">
        <f t="shared" si="0"/>
        <v>#VALUE!</v>
      </c>
      <c r="Q5" s="14" t="e">
        <f t="shared" si="0"/>
        <v>#VALUE!</v>
      </c>
      <c r="R5" s="15" t="e">
        <f t="shared" si="1"/>
        <v>#VALUE!</v>
      </c>
    </row>
    <row r="6" spans="1:18" x14ac:dyDescent="0.5">
      <c r="A6" s="8">
        <v>3</v>
      </c>
      <c r="B6" s="22" t="s">
        <v>23</v>
      </c>
      <c r="C6" s="21" t="s">
        <v>25</v>
      </c>
      <c r="D6" s="10" t="e">
        <f>SUMIF([1]District_F!$C$4:$C$94,[1]Region_F!$C6,[1]District_F!F$4:F$94)</f>
        <v>#VALUE!</v>
      </c>
      <c r="E6" s="10" t="e">
        <f>SUMIF([1]District_F!$C$4:$C$94,[1]Region_F!$C6,[1]District_F!G$4:G$94)</f>
        <v>#VALUE!</v>
      </c>
      <c r="F6" s="11" t="e">
        <f t="shared" si="2"/>
        <v>#VALUE!</v>
      </c>
      <c r="G6" s="12" t="e">
        <f>SUMIF([1]District_F!$C$4:$C$94,[1]Region_F!$C6,[1]District_F!I$4:I$94)</f>
        <v>#VALUE!</v>
      </c>
      <c r="H6" s="12" t="e">
        <f>SUMIF([1]District_F!$C$4:$C$94,[1]Region_F!$C6,[1]District_F!J$4:J$94)</f>
        <v>#VALUE!</v>
      </c>
      <c r="I6" s="13" t="e">
        <f t="shared" si="3"/>
        <v>#VALUE!</v>
      </c>
      <c r="J6" s="10" t="e">
        <f>SUMIF([1]District_F!$C$4:$C$94,[1]Region_F!$C6,[1]District_F!L$4:L$94)</f>
        <v>#VALUE!</v>
      </c>
      <c r="K6" s="10" t="e">
        <f>SUMIF([1]District_F!$C$4:$C$94,[1]Region_F!$C6,[1]District_F!M$4:M$94)</f>
        <v>#VALUE!</v>
      </c>
      <c r="L6" s="11" t="e">
        <f t="shared" si="4"/>
        <v>#VALUE!</v>
      </c>
      <c r="M6" s="12" t="e">
        <f>SUMIF([1]District_F!$C$4:$C$94,[1]Region_F!$C6,[1]District_F!O$4:O$94)</f>
        <v>#VALUE!</v>
      </c>
      <c r="N6" s="12" t="e">
        <f>SUMIF([1]District_F!$C$4:$C$94,[1]Region_F!$C6,[1]District_F!P$4:P$94)</f>
        <v>#VALUE!</v>
      </c>
      <c r="O6" s="13" t="e">
        <f t="shared" si="5"/>
        <v>#VALUE!</v>
      </c>
      <c r="P6" s="14" t="e">
        <f t="shared" si="0"/>
        <v>#VALUE!</v>
      </c>
      <c r="Q6" s="14" t="e">
        <f t="shared" si="0"/>
        <v>#VALUE!</v>
      </c>
      <c r="R6" s="15" t="e">
        <f t="shared" si="1"/>
        <v>#VALUE!</v>
      </c>
    </row>
    <row r="7" spans="1:18" x14ac:dyDescent="0.5">
      <c r="A7" s="8">
        <v>4</v>
      </c>
      <c r="B7" s="22" t="s">
        <v>26</v>
      </c>
      <c r="C7" s="21" t="s">
        <v>27</v>
      </c>
      <c r="D7" s="10" t="e">
        <f>SUMIF([1]District_F!$C$4:$C$94,[1]Region_F!$C7,[1]District_F!F$4:F$94)</f>
        <v>#VALUE!</v>
      </c>
      <c r="E7" s="10" t="e">
        <f>SUMIF([1]District_F!$C$4:$C$94,[1]Region_F!$C7,[1]District_F!G$4:G$94)</f>
        <v>#VALUE!</v>
      </c>
      <c r="F7" s="11" t="e">
        <f t="shared" si="2"/>
        <v>#VALUE!</v>
      </c>
      <c r="G7" s="12" t="e">
        <f>SUMIF([1]District_F!$C$4:$C$94,[1]Region_F!$C7,[1]District_F!I$4:I$94)</f>
        <v>#VALUE!</v>
      </c>
      <c r="H7" s="12" t="e">
        <f>SUMIF([1]District_F!$C$4:$C$94,[1]Region_F!$C7,[1]District_F!J$4:J$94)</f>
        <v>#VALUE!</v>
      </c>
      <c r="I7" s="13" t="e">
        <f t="shared" si="3"/>
        <v>#VALUE!</v>
      </c>
      <c r="J7" s="10" t="e">
        <f>SUMIF([1]District_F!$C$4:$C$94,[1]Region_F!$C7,[1]District_F!L$4:L$94)</f>
        <v>#VALUE!</v>
      </c>
      <c r="K7" s="10" t="e">
        <f>SUMIF([1]District_F!$C$4:$C$94,[1]Region_F!$C7,[1]District_F!M$4:M$94)</f>
        <v>#VALUE!</v>
      </c>
      <c r="L7" s="11" t="e">
        <f t="shared" si="4"/>
        <v>#VALUE!</v>
      </c>
      <c r="M7" s="12" t="e">
        <f>SUMIF([1]District_F!$C$4:$C$94,[1]Region_F!$C7,[1]District_F!O$4:O$94)</f>
        <v>#VALUE!</v>
      </c>
      <c r="N7" s="12" t="e">
        <f>SUMIF([1]District_F!$C$4:$C$94,[1]Region_F!$C7,[1]District_F!P$4:P$94)</f>
        <v>#VALUE!</v>
      </c>
      <c r="O7" s="13" t="e">
        <f t="shared" si="5"/>
        <v>#VALUE!</v>
      </c>
      <c r="P7" s="14" t="e">
        <f t="shared" si="0"/>
        <v>#VALUE!</v>
      </c>
      <c r="Q7" s="14" t="e">
        <f t="shared" si="0"/>
        <v>#VALUE!</v>
      </c>
      <c r="R7" s="15" t="e">
        <f t="shared" si="1"/>
        <v>#VALUE!</v>
      </c>
    </row>
    <row r="8" spans="1:18" x14ac:dyDescent="0.5">
      <c r="A8" s="8">
        <v>5</v>
      </c>
      <c r="B8" s="22" t="s">
        <v>26</v>
      </c>
      <c r="C8" s="21" t="s">
        <v>28</v>
      </c>
      <c r="D8" s="10" t="e">
        <f>SUMIF([1]District_F!$C$4:$C$94,[1]Region_F!$C8,[1]District_F!F$4:F$94)</f>
        <v>#VALUE!</v>
      </c>
      <c r="E8" s="10" t="e">
        <f>SUMIF([1]District_F!$C$4:$C$94,[1]Region_F!$C8,[1]District_F!G$4:G$94)</f>
        <v>#VALUE!</v>
      </c>
      <c r="F8" s="11" t="e">
        <f t="shared" si="2"/>
        <v>#VALUE!</v>
      </c>
      <c r="G8" s="12" t="e">
        <f>SUMIF([1]District_F!$C$4:$C$94,[1]Region_F!$C8,[1]District_F!I$4:I$94)</f>
        <v>#VALUE!</v>
      </c>
      <c r="H8" s="12" t="e">
        <f>SUMIF([1]District_F!$C$4:$C$94,[1]Region_F!$C8,[1]District_F!J$4:J$94)</f>
        <v>#VALUE!</v>
      </c>
      <c r="I8" s="13" t="e">
        <f t="shared" si="3"/>
        <v>#VALUE!</v>
      </c>
      <c r="J8" s="10" t="e">
        <f>SUMIF([1]District_F!$C$4:$C$94,[1]Region_F!$C8,[1]District_F!L$4:L$94)</f>
        <v>#VALUE!</v>
      </c>
      <c r="K8" s="10" t="e">
        <f>SUMIF([1]District_F!$C$4:$C$94,[1]Region_F!$C8,[1]District_F!M$4:M$94)</f>
        <v>#VALUE!</v>
      </c>
      <c r="L8" s="11" t="e">
        <f t="shared" si="4"/>
        <v>#VALUE!</v>
      </c>
      <c r="M8" s="12" t="e">
        <f>SUMIF([1]District_F!$C$4:$C$94,[1]Region_F!$C8,[1]District_F!O$4:O$94)</f>
        <v>#VALUE!</v>
      </c>
      <c r="N8" s="12" t="e">
        <f>SUMIF([1]District_F!$C$4:$C$94,[1]Region_F!$C8,[1]District_F!P$4:P$94)</f>
        <v>#VALUE!</v>
      </c>
      <c r="O8" s="13" t="e">
        <f t="shared" si="5"/>
        <v>#VALUE!</v>
      </c>
      <c r="P8" s="14" t="e">
        <f t="shared" si="0"/>
        <v>#VALUE!</v>
      </c>
      <c r="Q8" s="14" t="e">
        <f t="shared" si="0"/>
        <v>#VALUE!</v>
      </c>
      <c r="R8" s="15" t="e">
        <f t="shared" si="1"/>
        <v>#VALUE!</v>
      </c>
    </row>
    <row r="9" spans="1:18" x14ac:dyDescent="0.5">
      <c r="A9" s="8">
        <v>6</v>
      </c>
      <c r="B9" s="22" t="s">
        <v>29</v>
      </c>
      <c r="C9" s="21" t="s">
        <v>30</v>
      </c>
      <c r="D9" s="10" t="e">
        <f>SUMIF([1]District_F!$C$4:$C$94,[1]Region_F!$C9,[1]District_F!F$4:F$94)</f>
        <v>#VALUE!</v>
      </c>
      <c r="E9" s="10" t="e">
        <f>SUMIF([1]District_F!$C$4:$C$94,[1]Region_F!$C9,[1]District_F!G$4:G$94)</f>
        <v>#VALUE!</v>
      </c>
      <c r="F9" s="11" t="e">
        <f t="shared" si="2"/>
        <v>#VALUE!</v>
      </c>
      <c r="G9" s="12" t="e">
        <f>SUMIF([1]District_F!$C$4:$C$94,[1]Region_F!$C9,[1]District_F!I$4:I$94)</f>
        <v>#VALUE!</v>
      </c>
      <c r="H9" s="12" t="e">
        <f>SUMIF([1]District_F!$C$4:$C$94,[1]Region_F!$C9,[1]District_F!J$4:J$94)</f>
        <v>#VALUE!</v>
      </c>
      <c r="I9" s="13" t="e">
        <f t="shared" si="3"/>
        <v>#VALUE!</v>
      </c>
      <c r="J9" s="10" t="e">
        <f>SUMIF([1]District_F!$C$4:$C$94,[1]Region_F!$C9,[1]District_F!L$4:L$94)</f>
        <v>#VALUE!</v>
      </c>
      <c r="K9" s="10" t="e">
        <f>SUMIF([1]District_F!$C$4:$C$94,[1]Region_F!$C9,[1]District_F!M$4:M$94)</f>
        <v>#VALUE!</v>
      </c>
      <c r="L9" s="11" t="e">
        <f t="shared" si="4"/>
        <v>#VALUE!</v>
      </c>
      <c r="M9" s="12" t="e">
        <f>SUMIF([1]District_F!$C$4:$C$94,[1]Region_F!$C9,[1]District_F!O$4:O$94)</f>
        <v>#VALUE!</v>
      </c>
      <c r="N9" s="12" t="e">
        <f>SUMIF([1]District_F!$C$4:$C$94,[1]Region_F!$C9,[1]District_F!P$4:P$94)</f>
        <v>#VALUE!</v>
      </c>
      <c r="O9" s="13" t="e">
        <f t="shared" si="5"/>
        <v>#VALUE!</v>
      </c>
      <c r="P9" s="14" t="e">
        <f t="shared" si="0"/>
        <v>#VALUE!</v>
      </c>
      <c r="Q9" s="14" t="e">
        <f t="shared" si="0"/>
        <v>#VALUE!</v>
      </c>
      <c r="R9" s="15" t="e">
        <f t="shared" si="1"/>
        <v>#VALUE!</v>
      </c>
    </row>
    <row r="10" spans="1:18" x14ac:dyDescent="0.5">
      <c r="A10" s="8">
        <v>7</v>
      </c>
      <c r="B10" s="22" t="s">
        <v>29</v>
      </c>
      <c r="C10" s="21" t="s">
        <v>31</v>
      </c>
      <c r="D10" s="10" t="e">
        <f>SUMIF([1]District_F!$C$4:$C$94,[1]Region_F!$C10,[1]District_F!F$4:F$94)</f>
        <v>#VALUE!</v>
      </c>
      <c r="E10" s="10" t="e">
        <f>SUMIF([1]District_F!$C$4:$C$94,[1]Region_F!$C10,[1]District_F!G$4:G$94)</f>
        <v>#VALUE!</v>
      </c>
      <c r="F10" s="11" t="e">
        <f t="shared" si="2"/>
        <v>#VALUE!</v>
      </c>
      <c r="G10" s="12" t="e">
        <f>SUMIF([1]District_F!$C$4:$C$94,[1]Region_F!$C10,[1]District_F!I$4:I$94)</f>
        <v>#VALUE!</v>
      </c>
      <c r="H10" s="12" t="e">
        <f>SUMIF([1]District_F!$C$4:$C$94,[1]Region_F!$C10,[1]District_F!J$4:J$94)</f>
        <v>#VALUE!</v>
      </c>
      <c r="I10" s="13" t="e">
        <f t="shared" si="3"/>
        <v>#VALUE!</v>
      </c>
      <c r="J10" s="10" t="e">
        <f>SUMIF([1]District_F!$C$4:$C$94,[1]Region_F!$C10,[1]District_F!L$4:L$94)</f>
        <v>#VALUE!</v>
      </c>
      <c r="K10" s="10" t="e">
        <f>SUMIF([1]District_F!$C$4:$C$94,[1]Region_F!$C10,[1]District_F!M$4:M$94)</f>
        <v>#VALUE!</v>
      </c>
      <c r="L10" s="11" t="e">
        <f t="shared" si="4"/>
        <v>#VALUE!</v>
      </c>
      <c r="M10" s="12" t="e">
        <f>SUMIF([1]District_F!$C$4:$C$94,[1]Region_F!$C10,[1]District_F!O$4:O$94)</f>
        <v>#VALUE!</v>
      </c>
      <c r="N10" s="12" t="e">
        <f>SUMIF([1]District_F!$C$4:$C$94,[1]Region_F!$C10,[1]District_F!P$4:P$94)</f>
        <v>#VALUE!</v>
      </c>
      <c r="O10" s="13" t="e">
        <f t="shared" si="5"/>
        <v>#VALUE!</v>
      </c>
      <c r="P10" s="14" t="e">
        <f t="shared" si="0"/>
        <v>#VALUE!</v>
      </c>
      <c r="Q10" s="14" t="e">
        <f t="shared" si="0"/>
        <v>#VALUE!</v>
      </c>
      <c r="R10" s="15" t="e">
        <f t="shared" si="1"/>
        <v>#VALUE!</v>
      </c>
    </row>
    <row r="11" spans="1:18" x14ac:dyDescent="0.5">
      <c r="A11" s="8">
        <v>8</v>
      </c>
      <c r="B11" s="22" t="s">
        <v>29</v>
      </c>
      <c r="C11" s="21" t="s">
        <v>32</v>
      </c>
      <c r="D11" s="10" t="e">
        <f>SUMIF([1]District_F!$C$4:$C$94,[1]Region_F!$C11,[1]District_F!F$4:F$94)</f>
        <v>#VALUE!</v>
      </c>
      <c r="E11" s="10" t="e">
        <f>SUMIF([1]District_F!$C$4:$C$94,[1]Region_F!$C11,[1]District_F!G$4:G$94)</f>
        <v>#VALUE!</v>
      </c>
      <c r="F11" s="11" t="e">
        <f t="shared" si="2"/>
        <v>#VALUE!</v>
      </c>
      <c r="G11" s="12" t="e">
        <f>SUMIF([1]District_F!$C$4:$C$94,[1]Region_F!$C11,[1]District_F!I$4:I$94)</f>
        <v>#VALUE!</v>
      </c>
      <c r="H11" s="12" t="e">
        <f>SUMIF([1]District_F!$C$4:$C$94,[1]Region_F!$C11,[1]District_F!J$4:J$94)</f>
        <v>#VALUE!</v>
      </c>
      <c r="I11" s="13" t="e">
        <f t="shared" si="3"/>
        <v>#VALUE!</v>
      </c>
      <c r="J11" s="10" t="e">
        <f>SUMIF([1]District_F!$C$4:$C$94,[1]Region_F!$C11,[1]District_F!L$4:L$94)</f>
        <v>#VALUE!</v>
      </c>
      <c r="K11" s="10" t="e">
        <f>SUMIF([1]District_F!$C$4:$C$94,[1]Region_F!$C11,[1]District_F!M$4:M$94)</f>
        <v>#VALUE!</v>
      </c>
      <c r="L11" s="11" t="e">
        <f t="shared" si="4"/>
        <v>#VALUE!</v>
      </c>
      <c r="M11" s="12" t="e">
        <f>SUMIF([1]District_F!$C$4:$C$94,[1]Region_F!$C11,[1]District_F!O$4:O$94)</f>
        <v>#VALUE!</v>
      </c>
      <c r="N11" s="12" t="e">
        <f>SUMIF([1]District_F!$C$4:$C$94,[1]Region_F!$C11,[1]District_F!P$4:P$94)</f>
        <v>#VALUE!</v>
      </c>
      <c r="O11" s="13" t="e">
        <f t="shared" si="5"/>
        <v>#VALUE!</v>
      </c>
      <c r="P11" s="14" t="e">
        <f t="shared" si="0"/>
        <v>#VALUE!</v>
      </c>
      <c r="Q11" s="14" t="e">
        <f t="shared" si="0"/>
        <v>#VALUE!</v>
      </c>
      <c r="R11" s="15" t="e">
        <f t="shared" si="1"/>
        <v>#VALUE!</v>
      </c>
    </row>
    <row r="12" spans="1:18" x14ac:dyDescent="0.5">
      <c r="A12" s="8">
        <v>9</v>
      </c>
      <c r="B12" s="22" t="s">
        <v>33</v>
      </c>
      <c r="C12" s="21" t="s">
        <v>34</v>
      </c>
      <c r="D12" s="10" t="e">
        <f>SUMIF([1]District_F!$C$4:$C$94,[1]Region_F!$C12,[1]District_F!F$4:F$94)</f>
        <v>#VALUE!</v>
      </c>
      <c r="E12" s="10" t="e">
        <f>SUMIF([1]District_F!$C$4:$C$94,[1]Region_F!$C12,[1]District_F!G$4:G$94)</f>
        <v>#VALUE!</v>
      </c>
      <c r="F12" s="11" t="e">
        <f t="shared" si="2"/>
        <v>#VALUE!</v>
      </c>
      <c r="G12" s="12" t="e">
        <f>SUMIF([1]District_F!$C$4:$C$94,[1]Region_F!$C12,[1]District_F!I$4:I$94)</f>
        <v>#VALUE!</v>
      </c>
      <c r="H12" s="12" t="e">
        <f>SUMIF([1]District_F!$C$4:$C$94,[1]Region_F!$C12,[1]District_F!J$4:J$94)</f>
        <v>#VALUE!</v>
      </c>
      <c r="I12" s="13" t="e">
        <f t="shared" si="3"/>
        <v>#VALUE!</v>
      </c>
      <c r="J12" s="10" t="e">
        <f>SUMIF([1]District_F!$C$4:$C$94,[1]Region_F!$C12,[1]District_F!L$4:L$94)</f>
        <v>#VALUE!</v>
      </c>
      <c r="K12" s="10" t="e">
        <f>SUMIF([1]District_F!$C$4:$C$94,[1]Region_F!$C12,[1]District_F!M$4:M$94)</f>
        <v>#VALUE!</v>
      </c>
      <c r="L12" s="11" t="e">
        <f t="shared" si="4"/>
        <v>#VALUE!</v>
      </c>
      <c r="M12" s="12" t="e">
        <f>SUMIF([1]District_F!$C$4:$C$94,[1]Region_F!$C12,[1]District_F!O$4:O$94)</f>
        <v>#VALUE!</v>
      </c>
      <c r="N12" s="12" t="e">
        <f>SUMIF([1]District_F!$C$4:$C$94,[1]Region_F!$C12,[1]District_F!P$4:P$94)</f>
        <v>#VALUE!</v>
      </c>
      <c r="O12" s="13" t="e">
        <f t="shared" si="5"/>
        <v>#VALUE!</v>
      </c>
      <c r="P12" s="14" t="e">
        <f t="shared" si="0"/>
        <v>#VALUE!</v>
      </c>
      <c r="Q12" s="14" t="e">
        <f t="shared" si="0"/>
        <v>#VALUE!</v>
      </c>
      <c r="R12" s="15" t="e">
        <f t="shared" si="1"/>
        <v>#VALUE!</v>
      </c>
    </row>
    <row r="13" spans="1:18" x14ac:dyDescent="0.5">
      <c r="A13" s="8">
        <v>11</v>
      </c>
      <c r="B13" s="22" t="s">
        <v>33</v>
      </c>
      <c r="C13" s="21" t="s">
        <v>35</v>
      </c>
      <c r="D13" s="10" t="e">
        <f>SUMIF([1]District_F!$C$4:$C$94,[1]Region_F!$C13,[1]District_F!F$4:F$94)</f>
        <v>#VALUE!</v>
      </c>
      <c r="E13" s="10" t="e">
        <f>SUMIF([1]District_F!$C$4:$C$94,[1]Region_F!$C13,[1]District_F!G$4:G$94)</f>
        <v>#VALUE!</v>
      </c>
      <c r="F13" s="11" t="e">
        <f t="shared" si="2"/>
        <v>#VALUE!</v>
      </c>
      <c r="G13" s="12" t="e">
        <f>SUMIF([1]District_F!$C$4:$C$94,[1]Region_F!$C13,[1]District_F!I$4:I$94)</f>
        <v>#VALUE!</v>
      </c>
      <c r="H13" s="12" t="e">
        <f>SUMIF([1]District_F!$C$4:$C$94,[1]Region_F!$C13,[1]District_F!J$4:J$94)</f>
        <v>#VALUE!</v>
      </c>
      <c r="I13" s="13" t="e">
        <f t="shared" si="3"/>
        <v>#VALUE!</v>
      </c>
      <c r="J13" s="10" t="e">
        <f>SUMIF([1]District_F!$C$4:$C$94,[1]Region_F!$C13,[1]District_F!L$4:L$94)</f>
        <v>#VALUE!</v>
      </c>
      <c r="K13" s="10" t="e">
        <f>SUMIF([1]District_F!$C$4:$C$94,[1]Region_F!$C13,[1]District_F!M$4:M$94)</f>
        <v>#VALUE!</v>
      </c>
      <c r="L13" s="11" t="e">
        <f t="shared" si="4"/>
        <v>#VALUE!</v>
      </c>
      <c r="M13" s="12" t="e">
        <f>SUMIF([1]District_F!$C$4:$C$94,[1]Region_F!$C13,[1]District_F!O$4:O$94)</f>
        <v>#VALUE!</v>
      </c>
      <c r="N13" s="12" t="e">
        <f>SUMIF([1]District_F!$C$4:$C$94,[1]Region_F!$C13,[1]District_F!P$4:P$94)</f>
        <v>#VALUE!</v>
      </c>
      <c r="O13" s="13" t="e">
        <f t="shared" si="5"/>
        <v>#VALUE!</v>
      </c>
      <c r="P13" s="14" t="e">
        <f t="shared" si="0"/>
        <v>#VALUE!</v>
      </c>
      <c r="Q13" s="14" t="e">
        <f t="shared" si="0"/>
        <v>#VALUE!</v>
      </c>
      <c r="R13" s="15" t="e">
        <f t="shared" si="1"/>
        <v>#VALUE!</v>
      </c>
    </row>
    <row r="14" spans="1:18" x14ac:dyDescent="0.5">
      <c r="A14" s="8">
        <v>12</v>
      </c>
      <c r="B14" s="22" t="s">
        <v>36</v>
      </c>
      <c r="C14" s="21" t="s">
        <v>37</v>
      </c>
      <c r="D14" s="10" t="e">
        <f>SUMIF([1]District_F!$C$4:$C$94,[1]Region_F!$C14,[1]District_F!F$4:F$94)</f>
        <v>#VALUE!</v>
      </c>
      <c r="E14" s="10" t="e">
        <f>SUMIF([1]District_F!$C$4:$C$94,[1]Region_F!$C14,[1]District_F!G$4:G$94)</f>
        <v>#VALUE!</v>
      </c>
      <c r="F14" s="11" t="e">
        <f t="shared" si="2"/>
        <v>#VALUE!</v>
      </c>
      <c r="G14" s="12" t="e">
        <f>SUMIF([1]District_F!$C$4:$C$94,[1]Region_F!$C14,[1]District_F!I$4:I$94)</f>
        <v>#VALUE!</v>
      </c>
      <c r="H14" s="12" t="e">
        <f>SUMIF([1]District_F!$C$4:$C$94,[1]Region_F!$C14,[1]District_F!J$4:J$94)</f>
        <v>#VALUE!</v>
      </c>
      <c r="I14" s="13" t="e">
        <f t="shared" si="3"/>
        <v>#VALUE!</v>
      </c>
      <c r="J14" s="10" t="e">
        <f>SUMIF([1]District_F!$C$4:$C$94,[1]Region_F!$C14,[1]District_F!L$4:L$94)</f>
        <v>#VALUE!</v>
      </c>
      <c r="K14" s="10" t="e">
        <f>SUMIF([1]District_F!$C$4:$C$94,[1]Region_F!$C14,[1]District_F!M$4:M$94)</f>
        <v>#VALUE!</v>
      </c>
      <c r="L14" s="11" t="e">
        <f t="shared" si="4"/>
        <v>#VALUE!</v>
      </c>
      <c r="M14" s="12" t="e">
        <f>SUMIF([1]District_F!$C$4:$C$94,[1]Region_F!$C14,[1]District_F!O$4:O$94)</f>
        <v>#VALUE!</v>
      </c>
      <c r="N14" s="12" t="e">
        <f>SUMIF([1]District_F!$C$4:$C$94,[1]Region_F!$C14,[1]District_F!P$4:P$94)</f>
        <v>#VALUE!</v>
      </c>
      <c r="O14" s="13" t="e">
        <f t="shared" si="5"/>
        <v>#VALUE!</v>
      </c>
      <c r="P14" s="14" t="e">
        <f t="shared" si="0"/>
        <v>#VALUE!</v>
      </c>
      <c r="Q14" s="14" t="e">
        <f t="shared" si="0"/>
        <v>#VALUE!</v>
      </c>
      <c r="R14" s="15" t="e">
        <f t="shared" si="1"/>
        <v>#VALUE!</v>
      </c>
    </row>
    <row r="15" spans="1:18" x14ac:dyDescent="0.5">
      <c r="A15" s="8">
        <v>13</v>
      </c>
      <c r="B15" s="22" t="s">
        <v>36</v>
      </c>
      <c r="C15" s="21" t="s">
        <v>38</v>
      </c>
      <c r="D15" s="10" t="e">
        <f>SUMIF([1]District_F!$C$4:$C$94,[1]Region_F!$C15,[1]District_F!F$4:F$94)</f>
        <v>#VALUE!</v>
      </c>
      <c r="E15" s="10" t="e">
        <f>SUMIF([1]District_F!$C$4:$C$94,[1]Region_F!$C15,[1]District_F!G$4:G$94)</f>
        <v>#VALUE!</v>
      </c>
      <c r="F15" s="11" t="e">
        <f t="shared" si="2"/>
        <v>#VALUE!</v>
      </c>
      <c r="G15" s="12" t="e">
        <f>SUMIF([1]District_F!$C$4:$C$94,[1]Region_F!$C15,[1]District_F!I$4:I$94)</f>
        <v>#VALUE!</v>
      </c>
      <c r="H15" s="12" t="e">
        <f>SUMIF([1]District_F!$C$4:$C$94,[1]Region_F!$C15,[1]District_F!J$4:J$94)</f>
        <v>#VALUE!</v>
      </c>
      <c r="I15" s="13" t="e">
        <f t="shared" si="3"/>
        <v>#VALUE!</v>
      </c>
      <c r="J15" s="10" t="e">
        <f>SUMIF([1]District_F!$C$4:$C$94,[1]Region_F!$C15,[1]District_F!L$4:L$94)</f>
        <v>#VALUE!</v>
      </c>
      <c r="K15" s="10" t="e">
        <f>SUMIF([1]District_F!$C$4:$C$94,[1]Region_F!$C15,[1]District_F!M$4:M$94)</f>
        <v>#VALUE!</v>
      </c>
      <c r="L15" s="11" t="e">
        <f t="shared" si="4"/>
        <v>#VALUE!</v>
      </c>
      <c r="M15" s="12" t="e">
        <f>SUMIF([1]District_F!$C$4:$C$94,[1]Region_F!$C15,[1]District_F!O$4:O$94)</f>
        <v>#VALUE!</v>
      </c>
      <c r="N15" s="12" t="e">
        <f>SUMIF([1]District_F!$C$4:$C$94,[1]Region_F!$C15,[1]District_F!P$4:P$94)</f>
        <v>#VALUE!</v>
      </c>
      <c r="O15" s="13" t="e">
        <f t="shared" si="5"/>
        <v>#VALUE!</v>
      </c>
      <c r="P15" s="14" t="e">
        <f t="shared" si="0"/>
        <v>#VALUE!</v>
      </c>
      <c r="Q15" s="14" t="e">
        <f t="shared" si="0"/>
        <v>#VALUE!</v>
      </c>
      <c r="R15" s="15" t="e">
        <f t="shared" si="1"/>
        <v>#VALUE!</v>
      </c>
    </row>
    <row r="16" spans="1:18" x14ac:dyDescent="0.5">
      <c r="A16" s="8">
        <v>14</v>
      </c>
      <c r="B16" s="22" t="s">
        <v>36</v>
      </c>
      <c r="C16" s="21" t="s">
        <v>39</v>
      </c>
      <c r="D16" s="10" t="e">
        <f>SUMIF([1]District_F!$C$4:$C$94,[1]Region_F!$C16,[1]District_F!F$4:F$94)</f>
        <v>#VALUE!</v>
      </c>
      <c r="E16" s="10" t="e">
        <f>SUMIF([1]District_F!$C$4:$C$94,[1]Region_F!$C16,[1]District_F!G$4:G$94)</f>
        <v>#VALUE!</v>
      </c>
      <c r="F16" s="11" t="e">
        <f t="shared" si="2"/>
        <v>#VALUE!</v>
      </c>
      <c r="G16" s="12" t="e">
        <f>SUMIF([1]District_F!$C$4:$C$94,[1]Region_F!$C16,[1]District_F!I$4:I$94)</f>
        <v>#VALUE!</v>
      </c>
      <c r="H16" s="12" t="e">
        <f>SUMIF([1]District_F!$C$4:$C$94,[1]Region_F!$C16,[1]District_F!J$4:J$94)</f>
        <v>#VALUE!</v>
      </c>
      <c r="I16" s="13" t="e">
        <f t="shared" si="3"/>
        <v>#VALUE!</v>
      </c>
      <c r="J16" s="10" t="e">
        <f>SUMIF([1]District_F!$C$4:$C$94,[1]Region_F!$C16,[1]District_F!L$4:L$94)</f>
        <v>#VALUE!</v>
      </c>
      <c r="K16" s="10" t="e">
        <f>SUMIF([1]District_F!$C$4:$C$94,[1]Region_F!$C16,[1]District_F!M$4:M$94)</f>
        <v>#VALUE!</v>
      </c>
      <c r="L16" s="11" t="e">
        <f t="shared" si="4"/>
        <v>#VALUE!</v>
      </c>
      <c r="M16" s="12" t="e">
        <f>SUMIF([1]District_F!$C$4:$C$94,[1]Region_F!$C16,[1]District_F!O$4:O$94)</f>
        <v>#VALUE!</v>
      </c>
      <c r="N16" s="12" t="e">
        <f>SUMIF([1]District_F!$C$4:$C$94,[1]Region_F!$C16,[1]District_F!P$4:P$94)</f>
        <v>#VALUE!</v>
      </c>
      <c r="O16" s="13" t="e">
        <f t="shared" si="5"/>
        <v>#VALUE!</v>
      </c>
      <c r="P16" s="14" t="e">
        <f t="shared" si="0"/>
        <v>#VALUE!</v>
      </c>
      <c r="Q16" s="14" t="e">
        <f t="shared" si="0"/>
        <v>#VALUE!</v>
      </c>
      <c r="R16" s="15" t="e">
        <f t="shared" si="1"/>
        <v>#VALUE!</v>
      </c>
    </row>
    <row r="17" spans="1:18" x14ac:dyDescent="0.5">
      <c r="A17" s="8">
        <v>15</v>
      </c>
      <c r="B17" s="22" t="s">
        <v>36</v>
      </c>
      <c r="C17" s="21" t="s">
        <v>40</v>
      </c>
      <c r="D17" s="10" t="e">
        <f>SUMIF([1]District_F!$C$4:$C$94,[1]Region_F!$C17,[1]District_F!F$4:F$94)</f>
        <v>#VALUE!</v>
      </c>
      <c r="E17" s="10" t="e">
        <f>SUMIF([1]District_F!$C$4:$C$94,[1]Region_F!$C17,[1]District_F!G$4:G$94)</f>
        <v>#VALUE!</v>
      </c>
      <c r="F17" s="11" t="e">
        <f t="shared" si="2"/>
        <v>#VALUE!</v>
      </c>
      <c r="G17" s="12" t="e">
        <f>SUMIF([1]District_F!$C$4:$C$94,[1]Region_F!$C17,[1]District_F!I$4:I$94)</f>
        <v>#VALUE!</v>
      </c>
      <c r="H17" s="12" t="e">
        <f>SUMIF([1]District_F!$C$4:$C$94,[1]Region_F!$C17,[1]District_F!J$4:J$94)</f>
        <v>#VALUE!</v>
      </c>
      <c r="I17" s="13" t="e">
        <f t="shared" si="3"/>
        <v>#VALUE!</v>
      </c>
      <c r="J17" s="10" t="e">
        <f>SUMIF([1]District_F!$C$4:$C$94,[1]Region_F!$C17,[1]District_F!L$4:L$94)</f>
        <v>#VALUE!</v>
      </c>
      <c r="K17" s="10" t="e">
        <f>SUMIF([1]District_F!$C$4:$C$94,[1]Region_F!$C17,[1]District_F!M$4:M$94)</f>
        <v>#VALUE!</v>
      </c>
      <c r="L17" s="11" t="e">
        <f t="shared" si="4"/>
        <v>#VALUE!</v>
      </c>
      <c r="M17" s="12" t="e">
        <f>SUMIF([1]District_F!$C$4:$C$94,[1]Region_F!$C17,[1]District_F!O$4:O$94)</f>
        <v>#VALUE!</v>
      </c>
      <c r="N17" s="12" t="e">
        <f>SUMIF([1]District_F!$C$4:$C$94,[1]Region_F!$C17,[1]District_F!P$4:P$94)</f>
        <v>#VALUE!</v>
      </c>
      <c r="O17" s="13" t="e">
        <f t="shared" si="5"/>
        <v>#VALUE!</v>
      </c>
      <c r="P17" s="14" t="e">
        <f t="shared" si="0"/>
        <v>#VALUE!</v>
      </c>
      <c r="Q17" s="14" t="e">
        <f t="shared" si="0"/>
        <v>#VALUE!</v>
      </c>
      <c r="R17" s="15" t="e">
        <f t="shared" si="1"/>
        <v>#VALUE!</v>
      </c>
    </row>
    <row r="18" spans="1:18" x14ac:dyDescent="0.5">
      <c r="A18" s="8">
        <v>16</v>
      </c>
      <c r="B18" s="22" t="s">
        <v>36</v>
      </c>
      <c r="C18" s="21" t="s">
        <v>41</v>
      </c>
      <c r="D18" s="10" t="e">
        <f>SUMIF([1]District_F!$C$4:$C$94,[1]Region_F!$C18,[1]District_F!F$4:F$94)</f>
        <v>#VALUE!</v>
      </c>
      <c r="E18" s="10" t="e">
        <f>SUMIF([1]District_F!$C$4:$C$94,[1]Region_F!$C18,[1]District_F!G$4:G$94)</f>
        <v>#VALUE!</v>
      </c>
      <c r="F18" s="11" t="e">
        <f t="shared" si="2"/>
        <v>#VALUE!</v>
      </c>
      <c r="G18" s="12" t="e">
        <f>SUMIF([1]District_F!$C$4:$C$94,[1]Region_F!$C18,[1]District_F!I$4:I$94)</f>
        <v>#VALUE!</v>
      </c>
      <c r="H18" s="12" t="e">
        <f>SUMIF([1]District_F!$C$4:$C$94,[1]Region_F!$C18,[1]District_F!J$4:J$94)</f>
        <v>#VALUE!</v>
      </c>
      <c r="I18" s="13" t="e">
        <f t="shared" si="3"/>
        <v>#VALUE!</v>
      </c>
      <c r="J18" s="10" t="e">
        <f>SUMIF([1]District_F!$C$4:$C$94,[1]Region_F!$C18,[1]District_F!L$4:L$94)</f>
        <v>#VALUE!</v>
      </c>
      <c r="K18" s="10" t="e">
        <f>SUMIF([1]District_F!$C$4:$C$94,[1]Region_F!$C18,[1]District_F!M$4:M$94)</f>
        <v>#VALUE!</v>
      </c>
      <c r="L18" s="11" t="e">
        <f t="shared" si="4"/>
        <v>#VALUE!</v>
      </c>
      <c r="M18" s="12" t="e">
        <f>SUMIF([1]District_F!$C$4:$C$94,[1]Region_F!$C18,[1]District_F!O$4:O$94)</f>
        <v>#VALUE!</v>
      </c>
      <c r="N18" s="12" t="e">
        <f>SUMIF([1]District_F!$C$4:$C$94,[1]Region_F!$C18,[1]District_F!P$4:P$94)</f>
        <v>#VALUE!</v>
      </c>
      <c r="O18" s="13" t="e">
        <f t="shared" si="5"/>
        <v>#VALUE!</v>
      </c>
      <c r="P18" s="14" t="e">
        <f t="shared" si="0"/>
        <v>#VALUE!</v>
      </c>
      <c r="Q18" s="14" t="e">
        <f t="shared" si="0"/>
        <v>#VALUE!</v>
      </c>
      <c r="R18" s="15" t="e">
        <f t="shared" si="1"/>
        <v>#VALUE!</v>
      </c>
    </row>
    <row r="19" spans="1:18" x14ac:dyDescent="0.5">
      <c r="A19" s="8">
        <v>17</v>
      </c>
      <c r="B19" s="22" t="s">
        <v>42</v>
      </c>
      <c r="C19" s="21" t="s">
        <v>43</v>
      </c>
      <c r="D19" s="10" t="e">
        <f>SUMIF([1]District_F!$C$4:$C$94,[1]Region_F!$C19,[1]District_F!F$4:F$94)</f>
        <v>#VALUE!</v>
      </c>
      <c r="E19" s="10" t="e">
        <f>SUMIF([1]District_F!$C$4:$C$94,[1]Region_F!$C19,[1]District_F!G$4:G$94)</f>
        <v>#VALUE!</v>
      </c>
      <c r="F19" s="11" t="e">
        <f t="shared" si="2"/>
        <v>#VALUE!</v>
      </c>
      <c r="G19" s="12" t="e">
        <f>SUMIF([1]District_F!$C$4:$C$94,[1]Region_F!$C19,[1]District_F!I$4:I$94)</f>
        <v>#VALUE!</v>
      </c>
      <c r="H19" s="12" t="e">
        <f>SUMIF([1]District_F!$C$4:$C$94,[1]Region_F!$C19,[1]District_F!J$4:J$94)</f>
        <v>#VALUE!</v>
      </c>
      <c r="I19" s="13" t="e">
        <f t="shared" si="3"/>
        <v>#VALUE!</v>
      </c>
      <c r="J19" s="10" t="e">
        <f>SUMIF([1]District_F!$C$4:$C$94,[1]Region_F!$C19,[1]District_F!L$4:L$94)</f>
        <v>#VALUE!</v>
      </c>
      <c r="K19" s="10" t="e">
        <f>SUMIF([1]District_F!$C$4:$C$94,[1]Region_F!$C19,[1]District_F!M$4:M$94)</f>
        <v>#VALUE!</v>
      </c>
      <c r="L19" s="11" t="e">
        <f t="shared" si="4"/>
        <v>#VALUE!</v>
      </c>
      <c r="M19" s="12" t="e">
        <f>SUMIF([1]District_F!$C$4:$C$94,[1]Region_F!$C19,[1]District_F!O$4:O$94)</f>
        <v>#VALUE!</v>
      </c>
      <c r="N19" s="12" t="e">
        <f>SUMIF([1]District_F!$C$4:$C$94,[1]Region_F!$C19,[1]District_F!P$4:P$94)</f>
        <v>#VALUE!</v>
      </c>
      <c r="O19" s="13" t="e">
        <f t="shared" si="5"/>
        <v>#VALUE!</v>
      </c>
      <c r="P19" s="14" t="e">
        <f t="shared" si="0"/>
        <v>#VALUE!</v>
      </c>
      <c r="Q19" s="14" t="e">
        <f t="shared" si="0"/>
        <v>#VALUE!</v>
      </c>
      <c r="R19" s="15" t="e">
        <f t="shared" si="1"/>
        <v>#VALUE!</v>
      </c>
    </row>
    <row r="20" spans="1:18" x14ac:dyDescent="0.5">
      <c r="A20" s="8">
        <v>18</v>
      </c>
      <c r="B20" s="22" t="s">
        <v>42</v>
      </c>
      <c r="C20" s="21" t="s">
        <v>44</v>
      </c>
      <c r="D20" s="10" t="e">
        <f>SUMIF([1]District_F!$C$4:$C$94,[1]Region_F!$C20,[1]District_F!F$4:F$94)</f>
        <v>#VALUE!</v>
      </c>
      <c r="E20" s="10" t="e">
        <f>SUMIF([1]District_F!$C$4:$C$94,[1]Region_F!$C20,[1]District_F!G$4:G$94)</f>
        <v>#VALUE!</v>
      </c>
      <c r="F20" s="11" t="e">
        <f t="shared" si="2"/>
        <v>#VALUE!</v>
      </c>
      <c r="G20" s="12" t="e">
        <f>SUMIF([1]District_F!$C$4:$C$94,[1]Region_F!$C20,[1]District_F!I$4:I$94)</f>
        <v>#VALUE!</v>
      </c>
      <c r="H20" s="12" t="e">
        <f>SUMIF([1]District_F!$C$4:$C$94,[1]Region_F!$C20,[1]District_F!J$4:J$94)</f>
        <v>#VALUE!</v>
      </c>
      <c r="I20" s="13" t="e">
        <f t="shared" si="3"/>
        <v>#VALUE!</v>
      </c>
      <c r="J20" s="10" t="e">
        <f>SUMIF([1]District_F!$C$4:$C$94,[1]Region_F!$C20,[1]District_F!L$4:L$94)</f>
        <v>#VALUE!</v>
      </c>
      <c r="K20" s="10" t="e">
        <f>SUMIF([1]District_F!$C$4:$C$94,[1]Region_F!$C20,[1]District_F!M$4:M$94)</f>
        <v>#VALUE!</v>
      </c>
      <c r="L20" s="11" t="e">
        <f t="shared" si="4"/>
        <v>#VALUE!</v>
      </c>
      <c r="M20" s="12" t="e">
        <f>SUMIF([1]District_F!$C$4:$C$94,[1]Region_F!$C20,[1]District_F!O$4:O$94)</f>
        <v>#VALUE!</v>
      </c>
      <c r="N20" s="12" t="e">
        <f>SUMIF([1]District_F!$C$4:$C$94,[1]Region_F!$C20,[1]District_F!P$4:P$94)</f>
        <v>#VALUE!</v>
      </c>
      <c r="O20" s="13" t="e">
        <f t="shared" si="5"/>
        <v>#VALUE!</v>
      </c>
      <c r="P20" s="14" t="e">
        <f t="shared" ref="P20:Q21" si="6">D20+G20+J20+M20</f>
        <v>#VALUE!</v>
      </c>
      <c r="Q20" s="14" t="e">
        <f t="shared" si="6"/>
        <v>#VALUE!</v>
      </c>
      <c r="R20" s="15" t="e">
        <f t="shared" si="1"/>
        <v>#VALUE!</v>
      </c>
    </row>
    <row r="21" spans="1:18" x14ac:dyDescent="0.5">
      <c r="A21" s="8">
        <v>19</v>
      </c>
      <c r="B21" s="22" t="s">
        <v>42</v>
      </c>
      <c r="C21" s="21" t="s">
        <v>45</v>
      </c>
      <c r="D21" s="10" t="e">
        <f>SUMIF([1]District_F!$C$4:$C$94,[1]Region_F!$C21,[1]District_F!F$4:F$94)</f>
        <v>#VALUE!</v>
      </c>
      <c r="E21" s="10" t="e">
        <f>SUMIF([1]District_F!$C$4:$C$94,[1]Region_F!$C21,[1]District_F!G$4:G$94)</f>
        <v>#VALUE!</v>
      </c>
      <c r="F21" s="11" t="e">
        <f t="shared" si="2"/>
        <v>#VALUE!</v>
      </c>
      <c r="G21" s="12" t="e">
        <f>SUMIF([1]District_F!$C$4:$C$94,[1]Region_F!$C21,[1]District_F!I$4:I$94)</f>
        <v>#VALUE!</v>
      </c>
      <c r="H21" s="12" t="e">
        <f>SUMIF([1]District_F!$C$4:$C$94,[1]Region_F!$C21,[1]District_F!J$4:J$94)</f>
        <v>#VALUE!</v>
      </c>
      <c r="I21" s="13" t="e">
        <f t="shared" si="3"/>
        <v>#VALUE!</v>
      </c>
      <c r="J21" s="10" t="e">
        <f>SUMIF([1]District_F!$C$4:$C$94,[1]Region_F!$C21,[1]District_F!L$4:L$94)</f>
        <v>#VALUE!</v>
      </c>
      <c r="K21" s="10" t="e">
        <f>SUMIF([1]District_F!$C$4:$C$94,[1]Region_F!$C21,[1]District_F!M$4:M$94)</f>
        <v>#VALUE!</v>
      </c>
      <c r="L21" s="11" t="e">
        <f t="shared" si="4"/>
        <v>#VALUE!</v>
      </c>
      <c r="M21" s="12" t="e">
        <f>SUMIF([1]District_F!$C$4:$C$94,[1]Region_F!$C21,[1]District_F!O$4:O$94)</f>
        <v>#VALUE!</v>
      </c>
      <c r="N21" s="12" t="e">
        <f>SUMIF([1]District_F!$C$4:$C$94,[1]Region_F!$C21,[1]District_F!P$4:P$94)</f>
        <v>#VALUE!</v>
      </c>
      <c r="O21" s="13" t="e">
        <f t="shared" si="5"/>
        <v>#VALUE!</v>
      </c>
      <c r="P21" s="14" t="e">
        <f t="shared" si="6"/>
        <v>#VALUE!</v>
      </c>
      <c r="Q21" s="14" t="e">
        <f t="shared" si="6"/>
        <v>#VALUE!</v>
      </c>
      <c r="R21" s="15" t="e">
        <f t="shared" si="1"/>
        <v>#VALUE!</v>
      </c>
    </row>
    <row r="22" spans="1:18" ht="14.7" thickBot="1" x14ac:dyDescent="0.55000000000000004">
      <c r="A22" s="23" t="s">
        <v>20</v>
      </c>
      <c r="B22" s="24"/>
      <c r="C22" s="24"/>
      <c r="D22" s="25" t="e">
        <f>SUM(D4:D21)</f>
        <v>#VALUE!</v>
      </c>
      <c r="E22" s="25" t="e">
        <f t="shared" ref="E22:R22" si="7">SUM(E4:E21)</f>
        <v>#VALUE!</v>
      </c>
      <c r="F22" s="25" t="e">
        <f t="shared" si="7"/>
        <v>#VALUE!</v>
      </c>
      <c r="G22" s="25" t="e">
        <f t="shared" si="7"/>
        <v>#VALUE!</v>
      </c>
      <c r="H22" s="25" t="e">
        <f t="shared" si="7"/>
        <v>#VALUE!</v>
      </c>
      <c r="I22" s="25" t="e">
        <f t="shared" si="7"/>
        <v>#VALUE!</v>
      </c>
      <c r="J22" s="25" t="e">
        <f t="shared" si="7"/>
        <v>#VALUE!</v>
      </c>
      <c r="K22" s="25" t="e">
        <f t="shared" si="7"/>
        <v>#VALUE!</v>
      </c>
      <c r="L22" s="25" t="e">
        <f t="shared" si="7"/>
        <v>#VALUE!</v>
      </c>
      <c r="M22" s="25" t="e">
        <f t="shared" si="7"/>
        <v>#VALUE!</v>
      </c>
      <c r="N22" s="25" t="e">
        <f t="shared" si="7"/>
        <v>#VALUE!</v>
      </c>
      <c r="O22" s="25" t="e">
        <f t="shared" si="7"/>
        <v>#VALUE!</v>
      </c>
      <c r="P22" s="25" t="e">
        <f t="shared" si="7"/>
        <v>#VALUE!</v>
      </c>
      <c r="Q22" s="25" t="e">
        <f t="shared" si="7"/>
        <v>#VALUE!</v>
      </c>
      <c r="R22" s="26" t="e">
        <f t="shared" si="7"/>
        <v>#VALUE!</v>
      </c>
    </row>
    <row r="23" spans="1:18" ht="14.7" thickTop="1" x14ac:dyDescent="0.5">
      <c r="D2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940E-075B-465C-9666-328CD6FB86EC}">
  <dimension ref="A2:R65"/>
  <sheetViews>
    <sheetView workbookViewId="0">
      <selection sqref="A1:XFD1048576"/>
    </sheetView>
  </sheetViews>
  <sheetFormatPr defaultRowHeight="14.35" x14ac:dyDescent="0.5"/>
  <cols>
    <col min="1" max="1" width="3.234375" customWidth="1"/>
    <col min="2" max="2" width="20.1171875" hidden="1" customWidth="1"/>
    <col min="3" max="3" width="12.64453125" customWidth="1"/>
    <col min="4" max="4" width="15.1171875" bestFit="1" customWidth="1"/>
    <col min="5" max="5" width="9.87890625" customWidth="1"/>
    <col min="6" max="6" width="13.76171875" customWidth="1"/>
    <col min="8" max="8" width="11.52734375" customWidth="1"/>
    <col min="9" max="9" width="10.52734375" customWidth="1"/>
    <col min="10" max="10" width="12.41015625" customWidth="1"/>
    <col min="11" max="11" width="9.234375" customWidth="1"/>
    <col min="12" max="12" width="9.64453125" customWidth="1"/>
    <col min="14" max="14" width="9.1171875" bestFit="1" customWidth="1"/>
    <col min="16" max="16" width="11" customWidth="1"/>
    <col min="18" max="18" width="11.76171875" customWidth="1"/>
  </cols>
  <sheetData>
    <row r="2" spans="3:18" ht="21" thickBot="1" x14ac:dyDescent="0.75">
      <c r="C2" s="1" t="s">
        <v>46</v>
      </c>
    </row>
    <row r="3" spans="3:18" ht="29" thickTop="1" x14ac:dyDescent="0.5">
      <c r="C3" s="28" t="s">
        <v>47</v>
      </c>
      <c r="D3" s="6" t="s">
        <v>18</v>
      </c>
      <c r="E3" s="6" t="s">
        <v>19</v>
      </c>
      <c r="F3" s="7" t="s">
        <v>20</v>
      </c>
    </row>
    <row r="4" spans="3:18" ht="14.7" thickBot="1" x14ac:dyDescent="0.55000000000000004">
      <c r="C4" s="23" t="s">
        <v>48</v>
      </c>
      <c r="D4" s="25">
        <f>[1]State_F!O11</f>
        <v>9595199</v>
      </c>
      <c r="E4" s="25">
        <f>[1]State_F!P11</f>
        <v>9685651</v>
      </c>
      <c r="F4" s="26">
        <f>[1]State_F!Q11</f>
        <v>19280850</v>
      </c>
    </row>
    <row r="5" spans="3:18" ht="14.7" thickTop="1" x14ac:dyDescent="0.5">
      <c r="C5" s="29"/>
      <c r="D5" s="30"/>
      <c r="E5" s="30"/>
      <c r="F5" s="30"/>
    </row>
    <row r="6" spans="3:18" ht="21" thickBot="1" x14ac:dyDescent="0.75">
      <c r="C6" s="1" t="s">
        <v>49</v>
      </c>
    </row>
    <row r="7" spans="3:18" ht="29" thickTop="1" x14ac:dyDescent="0.5">
      <c r="C7" s="28" t="s">
        <v>47</v>
      </c>
      <c r="D7" s="6" t="s">
        <v>18</v>
      </c>
      <c r="E7" s="6" t="s">
        <v>19</v>
      </c>
      <c r="F7" s="7" t="s">
        <v>20</v>
      </c>
    </row>
    <row r="8" spans="3:18" ht="14.7" thickBot="1" x14ac:dyDescent="0.55000000000000004">
      <c r="C8" s="23" t="s">
        <v>50</v>
      </c>
      <c r="D8" s="31">
        <f>D4/$F$4</f>
        <v>0.49765435652473827</v>
      </c>
      <c r="E8" s="31">
        <f>E4/$F$4</f>
        <v>0.50234564347526167</v>
      </c>
      <c r="F8" s="32">
        <f>F4/$F$4</f>
        <v>1</v>
      </c>
    </row>
    <row r="9" spans="3:18" ht="14.7" thickTop="1" x14ac:dyDescent="0.5"/>
    <row r="10" spans="3:18" ht="21" thickBot="1" x14ac:dyDescent="0.75">
      <c r="C10" s="1" t="s">
        <v>51</v>
      </c>
    </row>
    <row r="11" spans="3:18" ht="29" thickTop="1" x14ac:dyDescent="0.5">
      <c r="C11" s="33" t="s">
        <v>52</v>
      </c>
      <c r="D11" s="34" t="s">
        <v>6</v>
      </c>
      <c r="E11" s="35" t="s">
        <v>7</v>
      </c>
      <c r="F11" s="36" t="s">
        <v>8</v>
      </c>
      <c r="G11" s="37" t="s">
        <v>9</v>
      </c>
      <c r="H11" s="38" t="s">
        <v>10</v>
      </c>
      <c r="I11" s="39" t="s">
        <v>11</v>
      </c>
      <c r="J11" s="34" t="s">
        <v>12</v>
      </c>
      <c r="K11" s="35" t="s">
        <v>13</v>
      </c>
      <c r="L11" s="36" t="s">
        <v>14</v>
      </c>
      <c r="M11" s="37" t="s">
        <v>15</v>
      </c>
      <c r="N11" s="38" t="s">
        <v>16</v>
      </c>
      <c r="O11" s="39" t="s">
        <v>17</v>
      </c>
    </row>
    <row r="12" spans="3:18" ht="14.7" thickBot="1" x14ac:dyDescent="0.55000000000000004">
      <c r="C12" s="40" t="s">
        <v>48</v>
      </c>
      <c r="D12" s="41">
        <f>[1]State_F!C11</f>
        <v>2026601</v>
      </c>
      <c r="E12" s="42">
        <f>[1]State_F!D11</f>
        <v>1871270</v>
      </c>
      <c r="F12" s="43">
        <f>[1]State_F!E11</f>
        <v>3897871</v>
      </c>
      <c r="G12" s="41">
        <f>[1]State_F!F11</f>
        <v>4078224</v>
      </c>
      <c r="H12" s="42">
        <f>[1]State_F!G11</f>
        <v>3873240</v>
      </c>
      <c r="I12" s="43">
        <f>[1]State_F!H11</f>
        <v>7951464</v>
      </c>
      <c r="J12" s="41">
        <f>[1]State_F!I11</f>
        <v>3049246</v>
      </c>
      <c r="K12" s="42">
        <f>[1]State_F!J11</f>
        <v>3475252</v>
      </c>
      <c r="L12" s="43">
        <f>[1]State_F!K11</f>
        <v>6524498</v>
      </c>
      <c r="M12" s="41">
        <f>[1]State_F!L11</f>
        <v>441128</v>
      </c>
      <c r="N12" s="42">
        <f>[1]State_F!M11</f>
        <v>465889</v>
      </c>
      <c r="O12" s="43">
        <f>[1]State_F!N11</f>
        <v>907017</v>
      </c>
    </row>
    <row r="13" spans="3:18" ht="14.7" thickTop="1" x14ac:dyDescent="0.5">
      <c r="C13" s="44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3:18" ht="21" thickBot="1" x14ac:dyDescent="0.75">
      <c r="C14" s="1" t="s">
        <v>53</v>
      </c>
    </row>
    <row r="15" spans="3:18" ht="28.7" x14ac:dyDescent="0.5">
      <c r="C15" s="45" t="s">
        <v>52</v>
      </c>
      <c r="D15" s="35" t="s">
        <v>6</v>
      </c>
      <c r="E15" s="35" t="s">
        <v>7</v>
      </c>
      <c r="F15" s="35" t="s">
        <v>8</v>
      </c>
      <c r="G15" s="38" t="s">
        <v>9</v>
      </c>
      <c r="H15" s="38" t="s">
        <v>10</v>
      </c>
      <c r="I15" s="38" t="s">
        <v>11</v>
      </c>
      <c r="J15" s="35" t="s">
        <v>12</v>
      </c>
      <c r="K15" s="35" t="s">
        <v>13</v>
      </c>
      <c r="L15" s="35" t="s">
        <v>14</v>
      </c>
      <c r="M15" s="38" t="s">
        <v>15</v>
      </c>
      <c r="N15" s="38" t="s">
        <v>16</v>
      </c>
      <c r="O15" s="39" t="s">
        <v>17</v>
      </c>
    </row>
    <row r="16" spans="3:18" ht="43.35" thickBot="1" x14ac:dyDescent="0.55000000000000004">
      <c r="C16" s="46" t="s">
        <v>54</v>
      </c>
      <c r="D16" s="47">
        <f t="shared" ref="D16:O16" si="0">D12/$F$4</f>
        <v>0.10510952577298201</v>
      </c>
      <c r="E16" s="47">
        <f t="shared" si="0"/>
        <v>9.7053293812254124E-2</v>
      </c>
      <c r="F16" s="47">
        <f t="shared" si="0"/>
        <v>0.20216281958523613</v>
      </c>
      <c r="G16" s="47">
        <f t="shared" si="0"/>
        <v>0.21151681590801236</v>
      </c>
      <c r="H16" s="47">
        <f t="shared" si="0"/>
        <v>0.20088533441212394</v>
      </c>
      <c r="I16" s="47">
        <f t="shared" si="0"/>
        <v>0.41240215032013627</v>
      </c>
      <c r="J16" s="47">
        <f t="shared" si="0"/>
        <v>0.15814894052907419</v>
      </c>
      <c r="K16" s="47">
        <f t="shared" si="0"/>
        <v>0.18024371332176745</v>
      </c>
      <c r="L16" s="47">
        <f t="shared" si="0"/>
        <v>0.33839265385084166</v>
      </c>
      <c r="M16" s="47">
        <f t="shared" si="0"/>
        <v>2.2879074314669737E-2</v>
      </c>
      <c r="N16" s="47">
        <f t="shared" si="0"/>
        <v>2.4163301929116195E-2</v>
      </c>
      <c r="O16" s="48">
        <f t="shared" si="0"/>
        <v>4.7042376243785933E-2</v>
      </c>
    </row>
    <row r="17" spans="1:18" x14ac:dyDescent="0.5"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8" spans="1:18" ht="21" thickBot="1" x14ac:dyDescent="0.75">
      <c r="C18" s="1" t="s">
        <v>55</v>
      </c>
    </row>
    <row r="19" spans="1:18" ht="29" thickTop="1" x14ac:dyDescent="0.5">
      <c r="C19" s="33" t="s">
        <v>52</v>
      </c>
      <c r="D19" s="34" t="s">
        <v>6</v>
      </c>
      <c r="E19" s="35" t="s">
        <v>7</v>
      </c>
      <c r="F19" s="36" t="s">
        <v>8</v>
      </c>
      <c r="G19" s="51" t="s">
        <v>9</v>
      </c>
      <c r="H19" s="5" t="s">
        <v>10</v>
      </c>
      <c r="I19" s="52" t="s">
        <v>11</v>
      </c>
      <c r="J19" s="34" t="s">
        <v>12</v>
      </c>
      <c r="K19" s="35" t="s">
        <v>13</v>
      </c>
      <c r="L19" s="36" t="s">
        <v>14</v>
      </c>
      <c r="M19" s="37" t="s">
        <v>15</v>
      </c>
      <c r="N19" s="38" t="s">
        <v>16</v>
      </c>
      <c r="O19" s="39" t="s">
        <v>17</v>
      </c>
    </row>
    <row r="20" spans="1:18" ht="43.35" thickBot="1" x14ac:dyDescent="0.55000000000000004">
      <c r="C20" s="53" t="s">
        <v>56</v>
      </c>
      <c r="D20" s="54">
        <f>D12/F12</f>
        <v>0.51992510783450763</v>
      </c>
      <c r="E20" s="47">
        <f>E12/F12</f>
        <v>0.48007489216549237</v>
      </c>
      <c r="F20" s="48">
        <f>F12/F12</f>
        <v>1</v>
      </c>
      <c r="G20" s="55">
        <f>G12/I12</f>
        <v>0.51288970182094773</v>
      </c>
      <c r="H20" s="31">
        <f>H12/I12</f>
        <v>0.48711029817905233</v>
      </c>
      <c r="I20" s="56">
        <f>I12/I12</f>
        <v>1</v>
      </c>
      <c r="J20" s="54">
        <f>J12/L12</f>
        <v>0.46735335040335668</v>
      </c>
      <c r="K20" s="47">
        <f>K12/L12</f>
        <v>0.53264664959664332</v>
      </c>
      <c r="L20" s="48">
        <f>L12/L12</f>
        <v>1</v>
      </c>
      <c r="M20" s="54">
        <f>M12/O12</f>
        <v>0.48635031096440307</v>
      </c>
      <c r="N20" s="47">
        <f>N12/O12</f>
        <v>0.51364968903559693</v>
      </c>
      <c r="O20" s="48">
        <f>O12/O12</f>
        <v>1</v>
      </c>
    </row>
    <row r="21" spans="1:18" ht="14.7" thickTop="1" x14ac:dyDescent="0.5">
      <c r="C21" s="49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8" ht="20.7" hidden="1" x14ac:dyDescent="0.7">
      <c r="C22" s="1" t="s">
        <v>57</v>
      </c>
    </row>
    <row r="23" spans="1:18" ht="43.35" hidden="1" thickTop="1" x14ac:dyDescent="0.5">
      <c r="A23" s="2" t="s">
        <v>1</v>
      </c>
      <c r="B23" s="57"/>
      <c r="C23" s="3" t="s">
        <v>2</v>
      </c>
      <c r="D23" s="6" t="s">
        <v>18</v>
      </c>
      <c r="E23" s="6" t="s">
        <v>58</v>
      </c>
      <c r="F23" s="6" t="s">
        <v>19</v>
      </c>
      <c r="G23" s="6" t="s">
        <v>59</v>
      </c>
      <c r="H23" s="7" t="s">
        <v>20</v>
      </c>
    </row>
    <row r="24" spans="1:18" hidden="1" x14ac:dyDescent="0.5">
      <c r="A24" s="8">
        <v>1</v>
      </c>
      <c r="B24" s="58"/>
      <c r="C24" s="9" t="str">
        <f>'[1]HPC AG N'!D13</f>
        <v xml:space="preserve">Banadir  </v>
      </c>
      <c r="D24" s="59">
        <f>[1]State_F!O4</f>
        <v>1621247</v>
      </c>
      <c r="E24" s="60">
        <f>D24/H24</f>
        <v>0.49699046236368949</v>
      </c>
      <c r="F24" s="59">
        <f>[1]State_F!P4</f>
        <v>1640882</v>
      </c>
      <c r="G24" s="60">
        <f>F24/H24</f>
        <v>0.50300953763631051</v>
      </c>
      <c r="H24" s="61">
        <f t="shared" ref="H24:H30" si="1">F24+D24</f>
        <v>3262129</v>
      </c>
    </row>
    <row r="25" spans="1:18" hidden="1" x14ac:dyDescent="0.5">
      <c r="A25" s="8">
        <v>2</v>
      </c>
      <c r="B25" s="58"/>
      <c r="C25" s="22" t="s">
        <v>23</v>
      </c>
      <c r="D25" s="59">
        <f>[1]State_F!O5</f>
        <v>1171190</v>
      </c>
      <c r="E25" s="60">
        <f t="shared" ref="E25:E31" si="2">D25/H25</f>
        <v>0.49754221731888215</v>
      </c>
      <c r="F25" s="59">
        <f>[1]State_F!P5</f>
        <v>1182761</v>
      </c>
      <c r="G25" s="60">
        <f t="shared" ref="G25:G31" si="3">F25/H25</f>
        <v>0.50245778268111785</v>
      </c>
      <c r="H25" s="61">
        <f t="shared" si="1"/>
        <v>2353951</v>
      </c>
    </row>
    <row r="26" spans="1:18" hidden="1" x14ac:dyDescent="0.5">
      <c r="A26" s="8">
        <v>3</v>
      </c>
      <c r="B26" s="58"/>
      <c r="C26" s="22" t="s">
        <v>26</v>
      </c>
      <c r="D26" s="59">
        <f>[1]State_F!O6</f>
        <v>779553</v>
      </c>
      <c r="E26" s="60">
        <f t="shared" si="2"/>
        <v>0.49799315058429566</v>
      </c>
      <c r="F26" s="59">
        <f>[1]State_F!P6</f>
        <v>785836</v>
      </c>
      <c r="G26" s="60">
        <f t="shared" si="3"/>
        <v>0.50200684941570439</v>
      </c>
      <c r="H26" s="61">
        <f t="shared" si="1"/>
        <v>1565389</v>
      </c>
    </row>
    <row r="27" spans="1:18" hidden="1" x14ac:dyDescent="0.5">
      <c r="A27" s="8">
        <v>4</v>
      </c>
      <c r="B27" s="58"/>
      <c r="C27" s="22" t="s">
        <v>29</v>
      </c>
      <c r="D27" s="59">
        <f>[1]State_F!O7</f>
        <v>1317206</v>
      </c>
      <c r="E27" s="60">
        <f t="shared" si="2"/>
        <v>0.4982420517856177</v>
      </c>
      <c r="F27" s="59">
        <f>[1]State_F!P7</f>
        <v>1326501</v>
      </c>
      <c r="G27" s="60">
        <f t="shared" si="3"/>
        <v>0.50175794821438235</v>
      </c>
      <c r="H27" s="61">
        <f t="shared" si="1"/>
        <v>2643707</v>
      </c>
    </row>
    <row r="28" spans="1:18" hidden="1" x14ac:dyDescent="0.5">
      <c r="A28" s="8">
        <v>5</v>
      </c>
      <c r="B28" s="58"/>
      <c r="C28" s="22" t="s">
        <v>33</v>
      </c>
      <c r="D28" s="59">
        <f>[1]State_F!O8</f>
        <v>958120</v>
      </c>
      <c r="E28" s="60">
        <f t="shared" si="2"/>
        <v>0.49849741105172901</v>
      </c>
      <c r="F28" s="59">
        <f>[1]State_F!P8</f>
        <v>963896</v>
      </c>
      <c r="G28" s="60">
        <f t="shared" si="3"/>
        <v>0.50150258894827093</v>
      </c>
      <c r="H28" s="61">
        <f t="shared" si="1"/>
        <v>1922016</v>
      </c>
    </row>
    <row r="29" spans="1:18" hidden="1" x14ac:dyDescent="0.5">
      <c r="A29" s="8">
        <v>6</v>
      </c>
      <c r="B29" s="58"/>
      <c r="C29" s="22" t="s">
        <v>36</v>
      </c>
      <c r="D29" s="59">
        <f>[1]State_F!O9</f>
        <v>2011800</v>
      </c>
      <c r="E29" s="60">
        <f t="shared" si="2"/>
        <v>0.49748549495207267</v>
      </c>
      <c r="F29" s="59">
        <f>[1]State_F!P9</f>
        <v>2032137</v>
      </c>
      <c r="G29" s="60">
        <f t="shared" si="3"/>
        <v>0.50251450504792727</v>
      </c>
      <c r="H29" s="61">
        <f t="shared" si="1"/>
        <v>4043937</v>
      </c>
    </row>
    <row r="30" spans="1:18" hidden="1" x14ac:dyDescent="0.5">
      <c r="A30" s="8">
        <v>7</v>
      </c>
      <c r="B30" s="58"/>
      <c r="C30" s="22" t="s">
        <v>42</v>
      </c>
      <c r="D30" s="59">
        <f>[1]State_F!O10</f>
        <v>1736083</v>
      </c>
      <c r="E30" s="60">
        <f t="shared" si="2"/>
        <v>0.49748475594467295</v>
      </c>
      <c r="F30" s="59">
        <f>[1]State_F!P10</f>
        <v>1753638</v>
      </c>
      <c r="G30" s="60">
        <f t="shared" si="3"/>
        <v>0.5025152440553271</v>
      </c>
      <c r="H30" s="61">
        <f t="shared" si="1"/>
        <v>3489721</v>
      </c>
    </row>
    <row r="31" spans="1:18" ht="14.7" hidden="1" thickBot="1" x14ac:dyDescent="0.55000000000000004">
      <c r="A31" s="86" t="s">
        <v>20</v>
      </c>
      <c r="B31" s="87"/>
      <c r="C31" s="88"/>
      <c r="D31" s="25">
        <f t="shared" ref="D31" si="4">SUM(D24:D30)</f>
        <v>9595199</v>
      </c>
      <c r="E31" s="31">
        <f t="shared" si="2"/>
        <v>0.49765435652473827</v>
      </c>
      <c r="F31" s="25">
        <f t="shared" ref="F31" si="5">SUM(F24:F30)</f>
        <v>9685651</v>
      </c>
      <c r="G31" s="31">
        <f t="shared" si="3"/>
        <v>0.50234564347526167</v>
      </c>
      <c r="H31" s="26">
        <f t="shared" ref="H31" si="6">SUM(H24:H30)</f>
        <v>19280850</v>
      </c>
    </row>
    <row r="32" spans="1:18" hidden="1" x14ac:dyDescent="0.5">
      <c r="A32" s="44"/>
      <c r="B32" s="44"/>
      <c r="C32" s="44"/>
      <c r="D32" s="30"/>
      <c r="E32" s="50"/>
      <c r="F32" s="30"/>
      <c r="G32" s="50"/>
      <c r="H32" s="30"/>
      <c r="J32" s="44"/>
      <c r="K32" s="44"/>
      <c r="L32" s="30"/>
      <c r="M32" s="30"/>
      <c r="N32" s="30"/>
      <c r="O32" s="30"/>
      <c r="P32" s="30"/>
    </row>
    <row r="33" spans="1:16" ht="20.7" hidden="1" x14ac:dyDescent="0.7">
      <c r="A33" s="1" t="s">
        <v>60</v>
      </c>
      <c r="B33" s="1"/>
      <c r="J33" s="44"/>
      <c r="K33" s="44"/>
      <c r="L33" s="30"/>
      <c r="M33" s="30"/>
      <c r="N33" s="30"/>
      <c r="O33" s="30"/>
      <c r="P33" s="30"/>
    </row>
    <row r="34" spans="1:16" ht="72" hidden="1" thickTop="1" x14ac:dyDescent="0.5">
      <c r="A34" s="2" t="s">
        <v>1</v>
      </c>
      <c r="B34" s="57"/>
      <c r="C34" s="3" t="s">
        <v>2</v>
      </c>
      <c r="D34" s="6" t="s">
        <v>18</v>
      </c>
      <c r="E34" s="6" t="s">
        <v>61</v>
      </c>
      <c r="F34" s="6" t="s">
        <v>19</v>
      </c>
      <c r="G34" s="6" t="s">
        <v>62</v>
      </c>
      <c r="H34" s="6" t="s">
        <v>20</v>
      </c>
      <c r="I34" s="7" t="s">
        <v>63</v>
      </c>
      <c r="J34" s="44"/>
      <c r="K34" s="44"/>
      <c r="L34" s="30"/>
      <c r="M34" s="30"/>
      <c r="N34" s="30"/>
      <c r="O34" s="30"/>
      <c r="P34" s="30"/>
    </row>
    <row r="35" spans="1:16" hidden="1" x14ac:dyDescent="0.5">
      <c r="A35" s="8">
        <v>1</v>
      </c>
      <c r="B35" s="58"/>
      <c r="C35" s="9" t="str">
        <f>'[1]HPC AG N'!D13</f>
        <v xml:space="preserve">Banadir  </v>
      </c>
      <c r="D35" s="59">
        <f>[1]State_F!O4</f>
        <v>1621247</v>
      </c>
      <c r="E35" s="60">
        <f t="shared" ref="E35:E41" si="7">D35/D$42</f>
        <v>0.16896439563160701</v>
      </c>
      <c r="F35" s="59">
        <f>[1]State_F!P4</f>
        <v>1640882</v>
      </c>
      <c r="G35" s="60">
        <f t="shared" ref="G35:G41" si="8">F35/F$42</f>
        <v>0.16941370280634724</v>
      </c>
      <c r="H35" s="59">
        <f t="shared" ref="H35:H41" si="9">F35+D35</f>
        <v>3262129</v>
      </c>
      <c r="I35" s="62">
        <f t="shared" ref="I35:I41" si="10">H35/H$42</f>
        <v>0.16919010313341995</v>
      </c>
      <c r="J35" s="44"/>
      <c r="K35" s="44"/>
      <c r="L35" s="30"/>
      <c r="M35" s="30"/>
      <c r="N35" s="30"/>
      <c r="O35" s="30"/>
      <c r="P35" s="30"/>
    </row>
    <row r="36" spans="1:16" hidden="1" x14ac:dyDescent="0.5">
      <c r="A36" s="8">
        <v>2</v>
      </c>
      <c r="B36" s="58"/>
      <c r="C36" s="22" t="s">
        <v>23</v>
      </c>
      <c r="D36" s="59">
        <f>[1]State_F!O5</f>
        <v>1171190</v>
      </c>
      <c r="E36" s="60">
        <f t="shared" si="7"/>
        <v>0.122060001048441</v>
      </c>
      <c r="F36" s="59">
        <f>[1]State_F!P5</f>
        <v>1182761</v>
      </c>
      <c r="G36" s="60">
        <f t="shared" si="8"/>
        <v>0.12211476544013407</v>
      </c>
      <c r="H36" s="59">
        <f t="shared" si="9"/>
        <v>2353951</v>
      </c>
      <c r="I36" s="62">
        <f t="shared" si="10"/>
        <v>0.12208751170202559</v>
      </c>
      <c r="J36" s="44"/>
      <c r="K36" s="44"/>
      <c r="L36" s="30"/>
      <c r="M36" s="30"/>
      <c r="N36" s="30"/>
      <c r="O36" s="30"/>
      <c r="P36" s="30"/>
    </row>
    <row r="37" spans="1:16" hidden="1" x14ac:dyDescent="0.5">
      <c r="A37" s="8">
        <v>3</v>
      </c>
      <c r="B37" s="58"/>
      <c r="C37" s="22" t="s">
        <v>26</v>
      </c>
      <c r="D37" s="59">
        <f>[1]State_F!O6</f>
        <v>779553</v>
      </c>
      <c r="E37" s="60">
        <f t="shared" si="7"/>
        <v>8.1244067996922215E-2</v>
      </c>
      <c r="F37" s="59">
        <f>[1]State_F!P6</f>
        <v>785836</v>
      </c>
      <c r="G37" s="60">
        <f t="shared" si="8"/>
        <v>8.1134040448081396E-2</v>
      </c>
      <c r="H37" s="59">
        <f t="shared" si="9"/>
        <v>1565389</v>
      </c>
      <c r="I37" s="62">
        <f t="shared" si="10"/>
        <v>8.118879613709977E-2</v>
      </c>
      <c r="J37" s="44"/>
      <c r="K37" s="44"/>
      <c r="L37" s="30"/>
      <c r="M37" s="30"/>
      <c r="N37" s="30"/>
      <c r="O37" s="30"/>
      <c r="P37" s="30"/>
    </row>
    <row r="38" spans="1:16" hidden="1" x14ac:dyDescent="0.5">
      <c r="A38" s="8">
        <v>4</v>
      </c>
      <c r="B38" s="58"/>
      <c r="C38" s="22" t="s">
        <v>29</v>
      </c>
      <c r="D38" s="59">
        <f>[1]State_F!O7</f>
        <v>1317206</v>
      </c>
      <c r="E38" s="60">
        <f t="shared" si="7"/>
        <v>0.13727761143880393</v>
      </c>
      <c r="F38" s="59">
        <f>[1]State_F!P7</f>
        <v>1326501</v>
      </c>
      <c r="G38" s="60">
        <f t="shared" si="8"/>
        <v>0.13695527538623889</v>
      </c>
      <c r="H38" s="59">
        <f t="shared" si="9"/>
        <v>2643707</v>
      </c>
      <c r="I38" s="62">
        <f t="shared" si="10"/>
        <v>0.13711568732706286</v>
      </c>
      <c r="J38" s="44"/>
      <c r="K38" s="44"/>
      <c r="L38" s="30"/>
      <c r="M38" s="30"/>
      <c r="N38" s="30"/>
      <c r="O38" s="30"/>
      <c r="P38" s="30"/>
    </row>
    <row r="39" spans="1:16" hidden="1" x14ac:dyDescent="0.5">
      <c r="A39" s="8">
        <v>5</v>
      </c>
      <c r="B39" s="58"/>
      <c r="C39" s="22" t="s">
        <v>33</v>
      </c>
      <c r="D39" s="59">
        <f>[1]State_F!O8</f>
        <v>958120</v>
      </c>
      <c r="E39" s="60">
        <f t="shared" si="7"/>
        <v>9.985410412019595E-2</v>
      </c>
      <c r="F39" s="59">
        <f>[1]State_F!P8</f>
        <v>963896</v>
      </c>
      <c r="G39" s="60">
        <f t="shared" si="8"/>
        <v>9.9517936378256872E-2</v>
      </c>
      <c r="H39" s="59">
        <f t="shared" si="9"/>
        <v>1922016</v>
      </c>
      <c r="I39" s="62">
        <f t="shared" si="10"/>
        <v>9.9685231719555928E-2</v>
      </c>
      <c r="J39" s="44"/>
      <c r="K39" s="44"/>
      <c r="L39" s="30"/>
      <c r="M39" s="30"/>
      <c r="N39" s="30"/>
      <c r="O39" s="30"/>
      <c r="P39" s="30"/>
    </row>
    <row r="40" spans="1:16" hidden="1" x14ac:dyDescent="0.5">
      <c r="A40" s="8">
        <v>6</v>
      </c>
      <c r="B40" s="58"/>
      <c r="C40" s="22" t="s">
        <v>36</v>
      </c>
      <c r="D40" s="59">
        <f>[1]State_F!O9</f>
        <v>2011800</v>
      </c>
      <c r="E40" s="60">
        <f t="shared" si="7"/>
        <v>0.20966735551810858</v>
      </c>
      <c r="F40" s="59">
        <f>[1]State_F!P9</f>
        <v>2032137</v>
      </c>
      <c r="G40" s="60">
        <f t="shared" si="8"/>
        <v>0.20980902574333929</v>
      </c>
      <c r="H40" s="59">
        <f t="shared" si="9"/>
        <v>4043937</v>
      </c>
      <c r="I40" s="62">
        <f t="shared" si="10"/>
        <v>0.2097385229385634</v>
      </c>
      <c r="J40" s="44"/>
      <c r="K40" s="44"/>
      <c r="L40" s="30"/>
      <c r="M40" s="30"/>
      <c r="N40" s="30"/>
      <c r="O40" s="30"/>
      <c r="P40" s="30"/>
    </row>
    <row r="41" spans="1:16" hidden="1" x14ac:dyDescent="0.5">
      <c r="A41" s="8">
        <v>7</v>
      </c>
      <c r="B41" s="58"/>
      <c r="C41" s="22" t="s">
        <v>42</v>
      </c>
      <c r="D41" s="59">
        <f>[1]State_F!O10</f>
        <v>1736083</v>
      </c>
      <c r="E41" s="60">
        <f t="shared" si="7"/>
        <v>0.18093246424592133</v>
      </c>
      <c r="F41" s="59">
        <f>[1]State_F!P10</f>
        <v>1753638</v>
      </c>
      <c r="G41" s="60">
        <f t="shared" si="8"/>
        <v>0.18105525379760223</v>
      </c>
      <c r="H41" s="59">
        <f t="shared" si="9"/>
        <v>3489721</v>
      </c>
      <c r="I41" s="62">
        <f t="shared" si="10"/>
        <v>0.18099414704227251</v>
      </c>
      <c r="J41" s="44"/>
      <c r="K41" s="44"/>
      <c r="L41" s="30"/>
      <c r="M41" s="30"/>
      <c r="N41" s="30"/>
      <c r="O41" s="30"/>
      <c r="P41" s="30"/>
    </row>
    <row r="42" spans="1:16" ht="14.7" hidden="1" thickBot="1" x14ac:dyDescent="0.55000000000000004">
      <c r="A42" s="86" t="s">
        <v>20</v>
      </c>
      <c r="B42" s="87"/>
      <c r="C42" s="88"/>
      <c r="D42" s="25">
        <f t="shared" ref="D42" si="11">SUM(D35:D41)</f>
        <v>9595199</v>
      </c>
      <c r="E42" s="25"/>
      <c r="F42" s="25">
        <f t="shared" ref="F42" si="12">SUM(F35:F41)</f>
        <v>9685651</v>
      </c>
      <c r="G42" s="25"/>
      <c r="H42" s="25">
        <f t="shared" ref="H42" si="13">SUM(H35:H41)</f>
        <v>19280850</v>
      </c>
      <c r="I42" s="63"/>
      <c r="J42" s="44"/>
      <c r="K42" s="44"/>
      <c r="L42" s="30"/>
      <c r="M42" s="30"/>
      <c r="N42" s="30"/>
      <c r="O42" s="30"/>
      <c r="P42" s="30"/>
    </row>
    <row r="43" spans="1:16" hidden="1" x14ac:dyDescent="0.5">
      <c r="A43" s="44"/>
      <c r="B43" s="44"/>
      <c r="C43" s="44"/>
      <c r="D43" s="30"/>
      <c r="E43" s="50"/>
      <c r="F43" s="30"/>
      <c r="G43" s="50"/>
      <c r="H43" s="30"/>
      <c r="J43" s="44"/>
      <c r="K43" s="44"/>
      <c r="L43" s="30"/>
      <c r="M43" s="30"/>
      <c r="N43" s="30"/>
      <c r="O43" s="30"/>
      <c r="P43" s="30"/>
    </row>
    <row r="44" spans="1:16" ht="21" thickBot="1" x14ac:dyDescent="0.75">
      <c r="A44" s="1" t="s">
        <v>64</v>
      </c>
      <c r="B44" s="1"/>
    </row>
    <row r="45" spans="1:16" ht="57.7" thickTop="1" x14ac:dyDescent="0.5">
      <c r="A45" s="2" t="s">
        <v>1</v>
      </c>
      <c r="B45" s="3" t="str">
        <f>[1]Region_F!A3</f>
        <v>S/N</v>
      </c>
      <c r="C45" s="3"/>
      <c r="D45" s="3" t="str">
        <f>[1]Region_F!C3</f>
        <v>Region</v>
      </c>
      <c r="E45" s="6" t="str">
        <f>[1]Region_F!P3</f>
        <v>Male Total</v>
      </c>
      <c r="F45" s="6" t="s">
        <v>65</v>
      </c>
      <c r="G45" s="6" t="str">
        <f>[1]Region_F!Q3</f>
        <v>Female Total</v>
      </c>
      <c r="H45" s="6" t="s">
        <v>66</v>
      </c>
      <c r="I45" s="6" t="str">
        <f>[1]Region_F!R3</f>
        <v>Total</v>
      </c>
      <c r="J45" s="7" t="s">
        <v>67</v>
      </c>
    </row>
    <row r="46" spans="1:16" x14ac:dyDescent="0.5">
      <c r="A46" s="8">
        <v>1</v>
      </c>
      <c r="B46" s="9">
        <f>[1]Region_F!A4</f>
        <v>1</v>
      </c>
      <c r="C46" s="9"/>
      <c r="D46" s="9" t="str">
        <f>[1]Region_F!C4</f>
        <v>Banadir</v>
      </c>
      <c r="E46" s="59">
        <f>[1]Region_F!P4</f>
        <v>1621247</v>
      </c>
      <c r="F46" s="60">
        <f t="shared" ref="F46:F64" si="14">E46/E$64</f>
        <v>0.16896439563160701</v>
      </c>
      <c r="G46" s="59">
        <f>[1]Region_F!Q4</f>
        <v>1640882</v>
      </c>
      <c r="H46" s="60">
        <f t="shared" ref="H46:H64" si="15">G46/G$64</f>
        <v>0.16941370280634724</v>
      </c>
      <c r="I46" s="59">
        <f>G46+E46</f>
        <v>3262129</v>
      </c>
      <c r="J46" s="62">
        <f t="shared" ref="J46:J64" si="16">I46/I$64</f>
        <v>0.16919010313341995</v>
      </c>
    </row>
    <row r="47" spans="1:16" x14ac:dyDescent="0.5">
      <c r="A47" s="8">
        <v>2</v>
      </c>
      <c r="B47" s="9">
        <f>[1]Region_F!A5</f>
        <v>2</v>
      </c>
      <c r="C47" s="9"/>
      <c r="D47" s="9" t="str">
        <f>[1]Region_F!C5</f>
        <v>Galgaduud</v>
      </c>
      <c r="E47" s="59">
        <f>[1]Region_F!P5</f>
        <v>416434</v>
      </c>
      <c r="F47" s="60">
        <f t="shared" si="14"/>
        <v>4.3400246310680998E-2</v>
      </c>
      <c r="G47" s="59">
        <f>[1]Region_F!Q5</f>
        <v>421482</v>
      </c>
      <c r="H47" s="60">
        <f t="shared" si="15"/>
        <v>4.3516125038988086E-2</v>
      </c>
      <c r="I47" s="59">
        <f t="shared" ref="I47:I63" si="17">G47+E47</f>
        <v>837916</v>
      </c>
      <c r="J47" s="62">
        <f t="shared" si="16"/>
        <v>4.3458457485017518E-2</v>
      </c>
    </row>
    <row r="48" spans="1:16" x14ac:dyDescent="0.5">
      <c r="A48" s="8">
        <v>3</v>
      </c>
      <c r="B48" s="9">
        <f>[1]Region_F!A6</f>
        <v>3</v>
      </c>
      <c r="C48" s="9"/>
      <c r="D48" s="9" t="str">
        <f>[1]Region_F!C6</f>
        <v>Mudug</v>
      </c>
      <c r="E48" s="59">
        <f>[1]Region_F!P6</f>
        <v>754756</v>
      </c>
      <c r="F48" s="60">
        <f t="shared" si="14"/>
        <v>7.8659754737760004E-2</v>
      </c>
      <c r="G48" s="59">
        <f>[1]Region_F!Q6</f>
        <v>761279</v>
      </c>
      <c r="H48" s="60">
        <f t="shared" si="15"/>
        <v>7.8598640401145989E-2</v>
      </c>
      <c r="I48" s="59">
        <f t="shared" si="17"/>
        <v>1516035</v>
      </c>
      <c r="J48" s="62">
        <f t="shared" si="16"/>
        <v>7.8629054217008068E-2</v>
      </c>
    </row>
    <row r="49" spans="1:10" x14ac:dyDescent="0.5">
      <c r="A49" s="8">
        <v>4</v>
      </c>
      <c r="B49" s="9">
        <f>[1]Region_F!A7</f>
        <v>4</v>
      </c>
      <c r="C49" s="9"/>
      <c r="D49" s="9" t="str">
        <f>[1]Region_F!C7</f>
        <v>Hiraan</v>
      </c>
      <c r="E49" s="59">
        <f>[1]Region_F!P7</f>
        <v>259214</v>
      </c>
      <c r="F49" s="60">
        <f t="shared" si="14"/>
        <v>2.7014968631708419E-2</v>
      </c>
      <c r="G49" s="59">
        <f>[1]Region_F!Q7</f>
        <v>261303</v>
      </c>
      <c r="H49" s="60">
        <f t="shared" si="15"/>
        <v>2.697836211525689E-2</v>
      </c>
      <c r="I49" s="59">
        <f t="shared" si="17"/>
        <v>520517</v>
      </c>
      <c r="J49" s="62">
        <f t="shared" si="16"/>
        <v>2.6996579507646189E-2</v>
      </c>
    </row>
    <row r="50" spans="1:10" x14ac:dyDescent="0.5">
      <c r="A50" s="8">
        <v>5</v>
      </c>
      <c r="B50" s="9">
        <f>[1]Region_F!A8</f>
        <v>5</v>
      </c>
      <c r="C50" s="9"/>
      <c r="D50" s="9" t="str">
        <f>[1]Region_F!C8</f>
        <v>Middle Shabelle</v>
      </c>
      <c r="E50" s="59">
        <f>[1]Region_F!P8</f>
        <v>520339</v>
      </c>
      <c r="F50" s="60">
        <f t="shared" si="14"/>
        <v>5.4229099365213793E-2</v>
      </c>
      <c r="G50" s="59">
        <f>[1]Region_F!Q8</f>
        <v>524533</v>
      </c>
      <c r="H50" s="60">
        <f t="shared" si="15"/>
        <v>5.4155678332824503E-2</v>
      </c>
      <c r="I50" s="59">
        <f t="shared" si="17"/>
        <v>1044872</v>
      </c>
      <c r="J50" s="62">
        <f t="shared" si="16"/>
        <v>5.4192216629453574E-2</v>
      </c>
    </row>
    <row r="51" spans="1:10" x14ac:dyDescent="0.5">
      <c r="A51" s="8">
        <v>6</v>
      </c>
      <c r="B51" s="9">
        <f>[1]Region_F!A9</f>
        <v>6</v>
      </c>
      <c r="C51" s="9"/>
      <c r="D51" s="9" t="str">
        <f>[1]Region_F!C9</f>
        <v>Gedo</v>
      </c>
      <c r="E51" s="59">
        <f>[1]Region_F!P9</f>
        <v>501194</v>
      </c>
      <c r="F51" s="60">
        <f t="shared" si="14"/>
        <v>5.2233830689702214E-2</v>
      </c>
      <c r="G51" s="59">
        <f>[1]Region_F!Q9</f>
        <v>504730</v>
      </c>
      <c r="H51" s="60">
        <f t="shared" si="15"/>
        <v>5.2111107451631285E-2</v>
      </c>
      <c r="I51" s="59">
        <f t="shared" si="17"/>
        <v>1005924</v>
      </c>
      <c r="J51" s="62">
        <f t="shared" si="16"/>
        <v>5.2172181205704105E-2</v>
      </c>
    </row>
    <row r="52" spans="1:10" x14ac:dyDescent="0.5">
      <c r="A52" s="8">
        <v>7</v>
      </c>
      <c r="B52" s="9">
        <f>[1]Region_F!A10</f>
        <v>7</v>
      </c>
      <c r="C52" s="9"/>
      <c r="D52" s="9" t="str">
        <f>[1]Region_F!C10</f>
        <v>Lower Juba</v>
      </c>
      <c r="E52" s="59">
        <f>[1]Region_F!P10</f>
        <v>595039</v>
      </c>
      <c r="F52" s="60">
        <f t="shared" si="14"/>
        <v>6.2014242747857551E-2</v>
      </c>
      <c r="G52" s="59">
        <f>[1]Region_F!Q10</f>
        <v>599237</v>
      </c>
      <c r="H52" s="60">
        <f t="shared" si="15"/>
        <v>6.1868531087894869E-2</v>
      </c>
      <c r="I52" s="59">
        <f t="shared" si="17"/>
        <v>1194276</v>
      </c>
      <c r="J52" s="62">
        <f t="shared" si="16"/>
        <v>6.1941045130271745E-2</v>
      </c>
    </row>
    <row r="53" spans="1:10" x14ac:dyDescent="0.5">
      <c r="A53" s="8">
        <v>8</v>
      </c>
      <c r="B53" s="9">
        <f>[1]Region_F!A11</f>
        <v>8</v>
      </c>
      <c r="C53" s="9"/>
      <c r="D53" s="9" t="str">
        <f>[1]Region_F!C11</f>
        <v>Middle Juba</v>
      </c>
      <c r="E53" s="59">
        <f>[1]Region_F!P11</f>
        <v>220973</v>
      </c>
      <c r="F53" s="60">
        <f t="shared" si="14"/>
        <v>2.3029538001244163E-2</v>
      </c>
      <c r="G53" s="59">
        <f>[1]Region_F!Q11</f>
        <v>222534</v>
      </c>
      <c r="H53" s="60">
        <f t="shared" si="15"/>
        <v>2.2975636846712728E-2</v>
      </c>
      <c r="I53" s="59">
        <f t="shared" si="17"/>
        <v>443507</v>
      </c>
      <c r="J53" s="62">
        <f t="shared" si="16"/>
        <v>2.300246099108701E-2</v>
      </c>
    </row>
    <row r="54" spans="1:10" x14ac:dyDescent="0.5">
      <c r="A54" s="8">
        <v>9</v>
      </c>
      <c r="B54" s="9">
        <f>[1]Region_F!A12</f>
        <v>9</v>
      </c>
      <c r="C54" s="9"/>
      <c r="D54" s="9" t="str">
        <f>[1]Region_F!C12</f>
        <v>Bari</v>
      </c>
      <c r="E54" s="59">
        <f>[1]Region_F!P12</f>
        <v>633367</v>
      </c>
      <c r="F54" s="60">
        <f t="shared" si="14"/>
        <v>6.6008740412783512E-2</v>
      </c>
      <c r="G54" s="59">
        <f>[1]Region_F!Q12</f>
        <v>637185</v>
      </c>
      <c r="H54" s="60">
        <f t="shared" si="15"/>
        <v>6.5786491790794446E-2</v>
      </c>
      <c r="I54" s="59">
        <f t="shared" si="17"/>
        <v>1270552</v>
      </c>
      <c r="J54" s="62">
        <f t="shared" si="16"/>
        <v>6.5897094785758933E-2</v>
      </c>
    </row>
    <row r="55" spans="1:10" x14ac:dyDescent="0.5">
      <c r="A55" s="8">
        <v>10</v>
      </c>
      <c r="B55" s="9">
        <f>[1]Region_F!A13</f>
        <v>11</v>
      </c>
      <c r="C55" s="9"/>
      <c r="D55" s="9" t="str">
        <f>[1]Region_F!C13</f>
        <v>Nugaal</v>
      </c>
      <c r="E55" s="59">
        <f>[1]Region_F!P13</f>
        <v>324753</v>
      </c>
      <c r="F55" s="60">
        <f t="shared" si="14"/>
        <v>3.3845363707412424E-2</v>
      </c>
      <c r="G55" s="59">
        <f>[1]Region_F!Q13</f>
        <v>326711</v>
      </c>
      <c r="H55" s="60">
        <f t="shared" si="15"/>
        <v>3.3731444587462425E-2</v>
      </c>
      <c r="I55" s="59">
        <f t="shared" si="17"/>
        <v>651464</v>
      </c>
      <c r="J55" s="62">
        <f t="shared" si="16"/>
        <v>3.3788136933797008E-2</v>
      </c>
    </row>
    <row r="56" spans="1:10" x14ac:dyDescent="0.5">
      <c r="A56" s="8">
        <v>11</v>
      </c>
      <c r="B56" s="9">
        <f>[1]Region_F!A14</f>
        <v>12</v>
      </c>
      <c r="C56" s="9"/>
      <c r="D56" s="9" t="str">
        <f>[1]Region_F!C14</f>
        <v>Awdal</v>
      </c>
      <c r="E56" s="59">
        <f>[1]Region_F!P14</f>
        <v>326298</v>
      </c>
      <c r="F56" s="60">
        <f t="shared" si="14"/>
        <v>3.4006381733198032E-2</v>
      </c>
      <c r="G56" s="59">
        <f>[1]Region_F!Q14</f>
        <v>329596</v>
      </c>
      <c r="H56" s="60">
        <f t="shared" si="15"/>
        <v>3.4029307890610552E-2</v>
      </c>
      <c r="I56" s="59">
        <f t="shared" si="17"/>
        <v>655894</v>
      </c>
      <c r="J56" s="62">
        <f t="shared" si="16"/>
        <v>3.401789858849584E-2</v>
      </c>
    </row>
    <row r="57" spans="1:10" x14ac:dyDescent="0.5">
      <c r="A57" s="8">
        <v>12</v>
      </c>
      <c r="B57" s="9">
        <f>[1]Region_F!A15</f>
        <v>13</v>
      </c>
      <c r="C57" s="9"/>
      <c r="D57" s="9" t="str">
        <f>[1]Region_F!C15</f>
        <v>Sanaag</v>
      </c>
      <c r="E57" s="59">
        <f>[1]Region_F!P15</f>
        <v>219906</v>
      </c>
      <c r="F57" s="60">
        <f t="shared" si="14"/>
        <v>2.2918336555604525E-2</v>
      </c>
      <c r="G57" s="59">
        <f>[1]Region_F!Q15</f>
        <v>222128</v>
      </c>
      <c r="H57" s="60">
        <f t="shared" si="15"/>
        <v>2.2933719168696045E-2</v>
      </c>
      <c r="I57" s="59">
        <f t="shared" si="17"/>
        <v>442034</v>
      </c>
      <c r="J57" s="62">
        <f t="shared" si="16"/>
        <v>2.2926063944276317E-2</v>
      </c>
    </row>
    <row r="58" spans="1:10" x14ac:dyDescent="0.5">
      <c r="A58" s="8">
        <v>13</v>
      </c>
      <c r="B58" s="9">
        <f>[1]Region_F!A16</f>
        <v>14</v>
      </c>
      <c r="C58" s="9"/>
      <c r="D58" s="9" t="str">
        <f>[1]Region_F!C16</f>
        <v>Sool</v>
      </c>
      <c r="E58" s="59">
        <f>[1]Region_F!P16</f>
        <v>281603</v>
      </c>
      <c r="F58" s="60">
        <f t="shared" si="14"/>
        <v>2.9348323051976308E-2</v>
      </c>
      <c r="G58" s="59">
        <f>[1]Region_F!Q16</f>
        <v>284450</v>
      </c>
      <c r="H58" s="60">
        <f t="shared" si="15"/>
        <v>2.9368185989769816E-2</v>
      </c>
      <c r="I58" s="59">
        <f t="shared" si="17"/>
        <v>566053</v>
      </c>
      <c r="J58" s="62">
        <f t="shared" si="16"/>
        <v>2.9358301112243496E-2</v>
      </c>
    </row>
    <row r="59" spans="1:10" x14ac:dyDescent="0.5">
      <c r="A59" s="8">
        <v>14</v>
      </c>
      <c r="B59" s="9">
        <f>[1]Region_F!A17</f>
        <v>15</v>
      </c>
      <c r="C59" s="9"/>
      <c r="D59" s="9" t="str">
        <f>[1]Region_F!C17</f>
        <v>Togdheer</v>
      </c>
      <c r="E59" s="59">
        <f>[1]Region_F!P17</f>
        <v>441492</v>
      </c>
      <c r="F59" s="60">
        <f t="shared" si="14"/>
        <v>4.6011760673228354E-2</v>
      </c>
      <c r="G59" s="59">
        <f>[1]Region_F!Q17</f>
        <v>445958</v>
      </c>
      <c r="H59" s="60">
        <f t="shared" si="15"/>
        <v>4.604316219942263E-2</v>
      </c>
      <c r="I59" s="59">
        <f t="shared" si="17"/>
        <v>887450</v>
      </c>
      <c r="J59" s="62">
        <f t="shared" si="16"/>
        <v>4.6027535093110521E-2</v>
      </c>
    </row>
    <row r="60" spans="1:10" x14ac:dyDescent="0.5">
      <c r="A60" s="8">
        <v>15</v>
      </c>
      <c r="B60" s="9">
        <f>[1]Region_F!A18</f>
        <v>16</v>
      </c>
      <c r="C60" s="9"/>
      <c r="D60" s="9" t="str">
        <f>[1]Region_F!C18</f>
        <v>Woqooyi Galbeed</v>
      </c>
      <c r="E60" s="59">
        <f>[1]Region_F!P18</f>
        <v>742501</v>
      </c>
      <c r="F60" s="60">
        <f t="shared" si="14"/>
        <v>7.7382553504101378E-2</v>
      </c>
      <c r="G60" s="59">
        <f>[1]Region_F!Q18</f>
        <v>750005</v>
      </c>
      <c r="H60" s="60">
        <f t="shared" si="15"/>
        <v>7.743465049484026E-2</v>
      </c>
      <c r="I60" s="59">
        <f t="shared" si="17"/>
        <v>1492506</v>
      </c>
      <c r="J60" s="62">
        <f t="shared" si="16"/>
        <v>7.7408724200437221E-2</v>
      </c>
    </row>
    <row r="61" spans="1:10" x14ac:dyDescent="0.5">
      <c r="A61" s="8">
        <v>16</v>
      </c>
      <c r="B61" s="9">
        <f>[1]Region_F!A19</f>
        <v>17</v>
      </c>
      <c r="C61" s="9"/>
      <c r="D61" s="9" t="str">
        <f>[1]Region_F!C19</f>
        <v>Bakool</v>
      </c>
      <c r="E61" s="59">
        <f>[1]Region_F!P19</f>
        <v>278725</v>
      </c>
      <c r="F61" s="60">
        <f t="shared" si="14"/>
        <v>2.9048381383231344E-2</v>
      </c>
      <c r="G61" s="59">
        <f>[1]Region_F!Q19</f>
        <v>281542</v>
      </c>
      <c r="H61" s="60">
        <f t="shared" si="15"/>
        <v>2.9067948039837487E-2</v>
      </c>
      <c r="I61" s="59">
        <f t="shared" si="17"/>
        <v>560267</v>
      </c>
      <c r="J61" s="62">
        <f t="shared" si="16"/>
        <v>2.9058210607934815E-2</v>
      </c>
    </row>
    <row r="62" spans="1:10" x14ac:dyDescent="0.5">
      <c r="A62" s="8">
        <v>17</v>
      </c>
      <c r="B62" s="9">
        <f>[1]Region_F!A20</f>
        <v>18</v>
      </c>
      <c r="C62" s="9"/>
      <c r="D62" s="9" t="str">
        <f>[1]Region_F!C20</f>
        <v>Bay</v>
      </c>
      <c r="E62" s="59">
        <f>[1]Region_F!P20</f>
        <v>640157</v>
      </c>
      <c r="F62" s="60">
        <f t="shared" si="14"/>
        <v>6.6716385975944842E-2</v>
      </c>
      <c r="G62" s="59">
        <f>[1]Region_F!Q20</f>
        <v>646630</v>
      </c>
      <c r="H62" s="60">
        <f t="shared" si="15"/>
        <v>6.6761645655000368E-2</v>
      </c>
      <c r="I62" s="59">
        <f t="shared" si="17"/>
        <v>1286787</v>
      </c>
      <c r="J62" s="62">
        <f t="shared" si="16"/>
        <v>6.6739121978543481E-2</v>
      </c>
    </row>
    <row r="63" spans="1:10" x14ac:dyDescent="0.5">
      <c r="A63" s="8">
        <v>18</v>
      </c>
      <c r="B63" s="9">
        <f>[1]Region_F!A21</f>
        <v>19</v>
      </c>
      <c r="C63" s="9"/>
      <c r="D63" s="9" t="str">
        <f>[1]Region_F!C21</f>
        <v>Lower Shabelle</v>
      </c>
      <c r="E63" s="59">
        <f>[1]Region_F!P21</f>
        <v>817201</v>
      </c>
      <c r="F63" s="60">
        <f t="shared" si="14"/>
        <v>8.5167696886745137E-2</v>
      </c>
      <c r="G63" s="59">
        <f>[1]Region_F!Q21</f>
        <v>825466</v>
      </c>
      <c r="H63" s="60">
        <f t="shared" si="15"/>
        <v>8.5225660102764389E-2</v>
      </c>
      <c r="I63" s="59">
        <f t="shared" si="17"/>
        <v>1642667</v>
      </c>
      <c r="J63" s="62">
        <f t="shared" si="16"/>
        <v>8.5196814455794218E-2</v>
      </c>
    </row>
    <row r="64" spans="1:10" ht="14.7" thickBot="1" x14ac:dyDescent="0.55000000000000004">
      <c r="A64" s="86" t="s">
        <v>20</v>
      </c>
      <c r="B64" s="87"/>
      <c r="C64" s="87"/>
      <c r="D64" s="88"/>
      <c r="E64" s="25">
        <f>SUM(E46:E63)</f>
        <v>9595199</v>
      </c>
      <c r="F64" s="31">
        <f t="shared" si="14"/>
        <v>1</v>
      </c>
      <c r="G64" s="25">
        <f>SUM(G46:G63)</f>
        <v>9685651</v>
      </c>
      <c r="H64" s="31">
        <f t="shared" si="15"/>
        <v>1</v>
      </c>
      <c r="I64" s="25">
        <f t="shared" ref="I64" si="18">SUM(I46:I63)</f>
        <v>19280850</v>
      </c>
      <c r="J64" s="32">
        <f t="shared" si="16"/>
        <v>1</v>
      </c>
    </row>
    <row r="65" customFormat="1" ht="14.7" thickTop="1" x14ac:dyDescent="0.5"/>
  </sheetData>
  <mergeCells count="3">
    <mergeCell ref="A31:C31"/>
    <mergeCell ref="A42:C42"/>
    <mergeCell ref="A64:D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1A62-4CAA-4316-B708-4BF793826CEB}">
  <dimension ref="A1:BE97"/>
  <sheetViews>
    <sheetView topLeftCell="B1" workbookViewId="0">
      <selection activeCell="D4" sqref="D4"/>
    </sheetView>
  </sheetViews>
  <sheetFormatPr defaultRowHeight="14.35" x14ac:dyDescent="0.5"/>
  <cols>
    <col min="1" max="1" width="16" hidden="1" customWidth="1"/>
    <col min="2" max="2" width="15.76171875" bestFit="1" customWidth="1"/>
    <col min="3" max="3" width="20.234375" bestFit="1" customWidth="1"/>
    <col min="4" max="9" width="11.76171875" bestFit="1" customWidth="1"/>
    <col min="10" max="10" width="10.234375" bestFit="1" customWidth="1"/>
    <col min="11" max="11" width="12.234375" bestFit="1" customWidth="1"/>
    <col min="12" max="12" width="9.76171875" bestFit="1" customWidth="1"/>
    <col min="13" max="13" width="11.76171875" bestFit="1" customWidth="1"/>
    <col min="14" max="14" width="9.76171875" bestFit="1" customWidth="1"/>
    <col min="15" max="15" width="11.41015625" bestFit="1" customWidth="1"/>
    <col min="16" max="16" width="9.76171875" bestFit="1" customWidth="1"/>
    <col min="17" max="17" width="11.76171875" bestFit="1" customWidth="1"/>
    <col min="18" max="18" width="9.76171875" bestFit="1" customWidth="1"/>
    <col min="19" max="19" width="11.76171875" bestFit="1" customWidth="1"/>
    <col min="20" max="20" width="9.76171875" bestFit="1" customWidth="1"/>
    <col min="21" max="21" width="11.76171875" bestFit="1" customWidth="1"/>
    <col min="22" max="22" width="9.76171875" bestFit="1" customWidth="1"/>
    <col min="23" max="23" width="11.76171875" bestFit="1" customWidth="1"/>
    <col min="24" max="24" width="9.76171875" bestFit="1" customWidth="1"/>
    <col min="25" max="25" width="11.76171875" bestFit="1" customWidth="1"/>
    <col min="26" max="26" width="9.76171875" bestFit="1" customWidth="1"/>
    <col min="27" max="27" width="11.76171875" bestFit="1" customWidth="1"/>
    <col min="28" max="28" width="9.76171875" bestFit="1" customWidth="1"/>
    <col min="29" max="29" width="11.76171875" bestFit="1" customWidth="1"/>
    <col min="30" max="30" width="9.76171875" bestFit="1" customWidth="1"/>
    <col min="31" max="31" width="11.76171875" bestFit="1" customWidth="1"/>
    <col min="32" max="32" width="9.76171875" bestFit="1" customWidth="1"/>
    <col min="33" max="33" width="11.76171875" bestFit="1" customWidth="1"/>
    <col min="34" max="34" width="9.76171875" bestFit="1" customWidth="1"/>
    <col min="35" max="35" width="11.76171875" bestFit="1" customWidth="1"/>
    <col min="36" max="36" width="8.234375" bestFit="1" customWidth="1"/>
    <col min="37" max="37" width="12.41015625" bestFit="1" customWidth="1"/>
    <col min="38" max="39" width="12" customWidth="1"/>
    <col min="40" max="40" width="12" bestFit="1" customWidth="1"/>
  </cols>
  <sheetData>
    <row r="1" spans="1:57" ht="20.7" x14ac:dyDescent="0.7">
      <c r="B1" s="1" t="s">
        <v>68</v>
      </c>
    </row>
    <row r="2" spans="1:57" ht="14.7" thickBot="1" x14ac:dyDescent="0.55000000000000004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</row>
    <row r="3" spans="1:57" s="70" customFormat="1" ht="13.35" thickTop="1" x14ac:dyDescent="0.45">
      <c r="A3" s="67" t="str">
        <f>'[1]All age Groups'!C3</f>
        <v>Polio State</v>
      </c>
      <c r="B3" s="68" t="str">
        <f>'[1]All age Groups'!D3</f>
        <v>Polio Region</v>
      </c>
      <c r="C3" s="68" t="str">
        <f>'[1]All age Groups'!E3</f>
        <v>OCHA CODs</v>
      </c>
      <c r="D3" s="68" t="str">
        <f>'[1]All age Groups'!I3</f>
        <v>&lt;5 Male</v>
      </c>
      <c r="E3" s="68" t="str">
        <f>'[1]All age Groups'!J3</f>
        <v>&lt;5 Female</v>
      </c>
      <c r="F3" s="68" t="str">
        <f>'[1]All age Groups'!K3</f>
        <v>5-9 Male</v>
      </c>
      <c r="G3" s="68" t="str">
        <f>'[1]All age Groups'!L3</f>
        <v>5-9 female</v>
      </c>
      <c r="H3" s="68" t="str">
        <f>'[1]All age Groups'!M3</f>
        <v>10-14 Male</v>
      </c>
      <c r="I3" s="68" t="str">
        <f>'[1]All age Groups'!N3</f>
        <v>10-14 Female</v>
      </c>
      <c r="J3" s="68" t="str">
        <f>'[1]All age Groups'!O3</f>
        <v xml:space="preserve">15-19 Male </v>
      </c>
      <c r="K3" s="68" t="str">
        <f>'[1]All age Groups'!P3</f>
        <v xml:space="preserve">15-19 Female </v>
      </c>
      <c r="L3" s="68" t="str">
        <f>'[1]All age Groups'!Q3</f>
        <v>20-24 Male</v>
      </c>
      <c r="M3" s="68" t="str">
        <f>'[1]All age Groups'!R3</f>
        <v>20-24 Female</v>
      </c>
      <c r="N3" s="68" t="str">
        <f>'[1]All age Groups'!S3</f>
        <v>25-29 Male</v>
      </c>
      <c r="O3" s="68" t="str">
        <f>'[1]All age Groups'!T3</f>
        <v>25-29Female</v>
      </c>
      <c r="P3" s="68" t="str">
        <f>'[1]All age Groups'!U3</f>
        <v>30-34 Male</v>
      </c>
      <c r="Q3" s="68" t="str">
        <f>'[1]All age Groups'!V3</f>
        <v>30-34 Female</v>
      </c>
      <c r="R3" s="68" t="str">
        <f>'[1]All age Groups'!W3</f>
        <v>35-39 Male</v>
      </c>
      <c r="S3" s="68" t="str">
        <f>'[1]All age Groups'!X3</f>
        <v>35-39 Female</v>
      </c>
      <c r="T3" s="68" t="str">
        <f>'[1]All age Groups'!Y3</f>
        <v>40-44 Male</v>
      </c>
      <c r="U3" s="68" t="str">
        <f>'[1]All age Groups'!Z3</f>
        <v>40-44 Female</v>
      </c>
      <c r="V3" s="68" t="str">
        <f>'[1]All age Groups'!AA3</f>
        <v>45-49 Male</v>
      </c>
      <c r="W3" s="68" t="str">
        <f>'[1]All age Groups'!AB3</f>
        <v>45-49 Female</v>
      </c>
      <c r="X3" s="68" t="str">
        <f>'[1]All age Groups'!AC3</f>
        <v>50-54 Male</v>
      </c>
      <c r="Y3" s="68" t="str">
        <f>'[1]All age Groups'!AD3</f>
        <v>50-54 Female</v>
      </c>
      <c r="Z3" s="68" t="str">
        <f>'[1]All age Groups'!AE3</f>
        <v>55-59 Male</v>
      </c>
      <c r="AA3" s="68" t="str">
        <f>'[1]All age Groups'!AF3</f>
        <v>55-59 Female</v>
      </c>
      <c r="AB3" s="68" t="str">
        <f>'[1]All age Groups'!AG3</f>
        <v>60-64 Male</v>
      </c>
      <c r="AC3" s="68" t="str">
        <f>'[1]All age Groups'!AH3</f>
        <v>60-64 Female</v>
      </c>
      <c r="AD3" s="68" t="str">
        <f>'[1]All age Groups'!AI3</f>
        <v>65-69 Male</v>
      </c>
      <c r="AE3" s="68" t="str">
        <f>'[1]All age Groups'!AJ3</f>
        <v>65-69 Female</v>
      </c>
      <c r="AF3" s="68" t="str">
        <f>'[1]All age Groups'!AK3</f>
        <v>70-74 Male</v>
      </c>
      <c r="AG3" s="68" t="str">
        <f>'[1]All age Groups'!AL3</f>
        <v>70-74 Female</v>
      </c>
      <c r="AH3" s="68" t="str">
        <f>'[1]All age Groups'!AM3</f>
        <v>75-79 Male</v>
      </c>
      <c r="AI3" s="68" t="str">
        <f>'[1]All age Groups'!AN3</f>
        <v>75-79 Female</v>
      </c>
      <c r="AJ3" s="68" t="str">
        <f>'[1]All age Groups'!AO3</f>
        <v>80+ Male</v>
      </c>
      <c r="AK3" s="68" t="str">
        <f>'[1]All age Groups'!AP3</f>
        <v>80+ Female</v>
      </c>
      <c r="AL3" s="68" t="s">
        <v>18</v>
      </c>
      <c r="AM3" s="68" t="s">
        <v>19</v>
      </c>
      <c r="AN3" s="69" t="s">
        <v>69</v>
      </c>
    </row>
    <row r="4" spans="1:57" x14ac:dyDescent="0.5">
      <c r="A4" s="71" t="str">
        <f>'[1]All age Groups'!C4</f>
        <v xml:space="preserve">Banadir  </v>
      </c>
      <c r="B4" s="72" t="str">
        <f>'[1]All age Groups'!D4</f>
        <v>Banadir</v>
      </c>
      <c r="C4" s="72" t="str">
        <f>'[1]All age Groups'!E4</f>
        <v>Bondhere</v>
      </c>
      <c r="D4" s="73">
        <f>'[1]All age Groups'!I4</f>
        <v>6452</v>
      </c>
      <c r="E4" s="74">
        <f>'[1]All age Groups'!J4</f>
        <v>5972</v>
      </c>
      <c r="F4" s="73">
        <f>'[1]All age Groups'!K4</f>
        <v>6315</v>
      </c>
      <c r="G4" s="74">
        <f>'[1]All age Groups'!L4</f>
        <v>5972</v>
      </c>
      <c r="H4" s="73">
        <f>'[1]All age Groups'!M4</f>
        <v>5629</v>
      </c>
      <c r="I4" s="74">
        <f>'[1]All age Groups'!N4</f>
        <v>5629</v>
      </c>
      <c r="J4" s="73">
        <f>'[1]All age Groups'!O4</f>
        <v>4050</v>
      </c>
      <c r="K4" s="74">
        <f>'[1]All age Groups'!P4</f>
        <v>4015</v>
      </c>
      <c r="L4" s="73">
        <f>'[1]All age Groups'!Q4</f>
        <v>2643</v>
      </c>
      <c r="M4" s="74">
        <f>'[1]All age Groups'!R4</f>
        <v>2574</v>
      </c>
      <c r="N4" s="73">
        <f>'[1]All age Groups'!S4</f>
        <v>1819</v>
      </c>
      <c r="O4" s="74">
        <f>'[1]All age Groups'!T4</f>
        <v>2402</v>
      </c>
      <c r="P4" s="73">
        <f>'[1]All age Groups'!U4</f>
        <v>1407</v>
      </c>
      <c r="Q4" s="74">
        <f>'[1]All age Groups'!V4</f>
        <v>1682</v>
      </c>
      <c r="R4" s="73">
        <f>'[1]All age Groups'!W4</f>
        <v>1270</v>
      </c>
      <c r="S4" s="74">
        <f>'[1]All age Groups'!X4</f>
        <v>1373</v>
      </c>
      <c r="T4" s="73">
        <f>'[1]All age Groups'!Y4</f>
        <v>1030</v>
      </c>
      <c r="U4" s="74">
        <f>'[1]All age Groups'!Z4</f>
        <v>789</v>
      </c>
      <c r="V4" s="73">
        <f>'[1]All age Groups'!AA4</f>
        <v>549</v>
      </c>
      <c r="W4" s="74">
        <f>'[1]All age Groups'!AB4</f>
        <v>515</v>
      </c>
      <c r="X4" s="73">
        <f>'[1]All age Groups'!AC4</f>
        <v>755</v>
      </c>
      <c r="Y4" s="74">
        <f>'[1]All age Groups'!AD4</f>
        <v>1441</v>
      </c>
      <c r="Z4" s="73">
        <f>'[1]All age Groups'!AE4</f>
        <v>480</v>
      </c>
      <c r="AA4" s="74">
        <f>'[1]All age Groups'!AF4</f>
        <v>446</v>
      </c>
      <c r="AB4" s="73">
        <f>'[1]All age Groups'!AG4</f>
        <v>755</v>
      </c>
      <c r="AC4" s="74">
        <f>'[1]All age Groups'!AH4</f>
        <v>583</v>
      </c>
      <c r="AD4" s="73">
        <f>'[1]All age Groups'!AI4</f>
        <v>240</v>
      </c>
      <c r="AE4" s="74">
        <f>'[1]All age Groups'!AJ4</f>
        <v>206</v>
      </c>
      <c r="AF4" s="73">
        <f>'[1]All age Groups'!AK4</f>
        <v>343</v>
      </c>
      <c r="AG4" s="74">
        <f>'[1]All age Groups'!AL4</f>
        <v>412</v>
      </c>
      <c r="AH4" s="73">
        <f>'[1]All age Groups'!AM4</f>
        <v>103</v>
      </c>
      <c r="AI4" s="74">
        <f>'[1]All age Groups'!AN4</f>
        <v>103</v>
      </c>
      <c r="AJ4" s="73">
        <f>'[1]All age Groups'!AO4</f>
        <v>172</v>
      </c>
      <c r="AK4" s="74">
        <f>'[1]All age Groups'!AP4</f>
        <v>309</v>
      </c>
      <c r="AL4" s="75">
        <f>SUM(D4,F4,H4,J4,L4,N4,P4,R4,T4,V4,X4,Z4,AB4,AD4,AF4,AH4,AJ4)</f>
        <v>34012</v>
      </c>
      <c r="AM4" s="75">
        <f>SUM(E4,G4,I4,K4,M4,O4,Q4,S4,U4,W4,Y4,AA4,AC4,AE4,AG4,AI4,AK4)</f>
        <v>34423</v>
      </c>
      <c r="AN4" s="76">
        <f>AL4+AM4</f>
        <v>68435</v>
      </c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</row>
    <row r="5" spans="1:57" x14ac:dyDescent="0.5">
      <c r="A5" s="71" t="str">
        <f>'[1]All age Groups'!C5</f>
        <v xml:space="preserve">Banadir  </v>
      </c>
      <c r="B5" s="72" t="str">
        <f>'[1]All age Groups'!D5</f>
        <v>Banadir</v>
      </c>
      <c r="C5" s="72" t="str">
        <f>'[1]All age Groups'!E5</f>
        <v>Cabdulasis</v>
      </c>
      <c r="D5" s="73">
        <f>'[1]All age Groups'!I5</f>
        <v>1512</v>
      </c>
      <c r="E5" s="74">
        <f>'[1]All age Groups'!J5</f>
        <v>1400</v>
      </c>
      <c r="F5" s="73">
        <f>'[1]All age Groups'!K5</f>
        <v>1480</v>
      </c>
      <c r="G5" s="74">
        <f>'[1]All age Groups'!L5</f>
        <v>1400</v>
      </c>
      <c r="H5" s="73">
        <f>'[1]All age Groups'!M5</f>
        <v>1319</v>
      </c>
      <c r="I5" s="74">
        <f>'[1]All age Groups'!N5</f>
        <v>1319</v>
      </c>
      <c r="J5" s="73">
        <f>'[1]All age Groups'!O5</f>
        <v>949</v>
      </c>
      <c r="K5" s="74">
        <f>'[1]All age Groups'!P5</f>
        <v>941</v>
      </c>
      <c r="L5" s="73">
        <f>'[1]All age Groups'!Q5</f>
        <v>619</v>
      </c>
      <c r="M5" s="74">
        <f>'[1]All age Groups'!R5</f>
        <v>603</v>
      </c>
      <c r="N5" s="73">
        <f>'[1]All age Groups'!S5</f>
        <v>426</v>
      </c>
      <c r="O5" s="74">
        <f>'[1]All age Groups'!T5</f>
        <v>563</v>
      </c>
      <c r="P5" s="73">
        <f>'[1]All age Groups'!U5</f>
        <v>330</v>
      </c>
      <c r="Q5" s="74">
        <f>'[1]All age Groups'!V5</f>
        <v>394</v>
      </c>
      <c r="R5" s="73">
        <f>'[1]All age Groups'!W5</f>
        <v>298</v>
      </c>
      <c r="S5" s="74">
        <f>'[1]All age Groups'!X5</f>
        <v>322</v>
      </c>
      <c r="T5" s="73">
        <f>'[1]All age Groups'!Y5</f>
        <v>241</v>
      </c>
      <c r="U5" s="74">
        <f>'[1]All age Groups'!Z5</f>
        <v>185</v>
      </c>
      <c r="V5" s="73">
        <f>'[1]All age Groups'!AA5</f>
        <v>129</v>
      </c>
      <c r="W5" s="74">
        <f>'[1]All age Groups'!AB5</f>
        <v>121</v>
      </c>
      <c r="X5" s="73">
        <f>'[1]All age Groups'!AC5</f>
        <v>177</v>
      </c>
      <c r="Y5" s="74">
        <f>'[1]All age Groups'!AD5</f>
        <v>338</v>
      </c>
      <c r="Z5" s="73">
        <f>'[1]All age Groups'!AE5</f>
        <v>113</v>
      </c>
      <c r="AA5" s="74">
        <f>'[1]All age Groups'!AF5</f>
        <v>105</v>
      </c>
      <c r="AB5" s="73">
        <f>'[1]All age Groups'!AG5</f>
        <v>177</v>
      </c>
      <c r="AC5" s="74">
        <f>'[1]All age Groups'!AH5</f>
        <v>137</v>
      </c>
      <c r="AD5" s="73">
        <f>'[1]All age Groups'!AI5</f>
        <v>56</v>
      </c>
      <c r="AE5" s="74">
        <f>'[1]All age Groups'!AJ5</f>
        <v>48</v>
      </c>
      <c r="AF5" s="73">
        <f>'[1]All age Groups'!AK5</f>
        <v>80</v>
      </c>
      <c r="AG5" s="74">
        <f>'[1]All age Groups'!AL5</f>
        <v>97</v>
      </c>
      <c r="AH5" s="73">
        <f>'[1]All age Groups'!AM5</f>
        <v>24</v>
      </c>
      <c r="AI5" s="74">
        <f>'[1]All age Groups'!AN5</f>
        <v>24</v>
      </c>
      <c r="AJ5" s="73">
        <f>'[1]All age Groups'!AO5</f>
        <v>40</v>
      </c>
      <c r="AK5" s="74">
        <f>'[1]All age Groups'!AP5</f>
        <v>72</v>
      </c>
      <c r="AL5" s="75">
        <f t="shared" ref="AL5:AM68" si="0">SUM(D5,F5,H5,J5,L5,N5,P5,R5,T5,V5,X5,Z5,AB5,AD5,AF5,AH5,AJ5)</f>
        <v>7970</v>
      </c>
      <c r="AM5" s="75">
        <f t="shared" si="0"/>
        <v>8069</v>
      </c>
      <c r="AN5" s="76">
        <f t="shared" ref="AN5:AN68" si="1">AL5+AM5</f>
        <v>16039</v>
      </c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</row>
    <row r="6" spans="1:57" x14ac:dyDescent="0.5">
      <c r="A6" s="71" t="str">
        <f>'[1]All age Groups'!C6</f>
        <v xml:space="preserve">Banadir  </v>
      </c>
      <c r="B6" s="72" t="str">
        <f>'[1]All age Groups'!D6</f>
        <v>Banadir</v>
      </c>
      <c r="C6" s="72" t="str">
        <f>'[1]All age Groups'!E6</f>
        <v>Daynile</v>
      </c>
      <c r="D6" s="73">
        <f>'[1]All age Groups'!I6</f>
        <v>68635</v>
      </c>
      <c r="E6" s="74">
        <f>'[1]All age Groups'!J6</f>
        <v>63524</v>
      </c>
      <c r="F6" s="73">
        <f>'[1]All age Groups'!K6</f>
        <v>67175</v>
      </c>
      <c r="G6" s="74">
        <f>'[1]All age Groups'!L6</f>
        <v>63524</v>
      </c>
      <c r="H6" s="73">
        <f>'[1]All age Groups'!M6</f>
        <v>59873</v>
      </c>
      <c r="I6" s="74">
        <f>'[1]All age Groups'!N6</f>
        <v>59873</v>
      </c>
      <c r="J6" s="73">
        <f>'[1]All age Groups'!O6</f>
        <v>43079</v>
      </c>
      <c r="K6" s="74">
        <f>'[1]All age Groups'!P6</f>
        <v>42714</v>
      </c>
      <c r="L6" s="73">
        <f>'[1]All age Groups'!Q6</f>
        <v>28111</v>
      </c>
      <c r="M6" s="74">
        <f>'[1]All age Groups'!R6</f>
        <v>27381</v>
      </c>
      <c r="N6" s="73">
        <f>'[1]All age Groups'!S6</f>
        <v>19349</v>
      </c>
      <c r="O6" s="74">
        <f>'[1]All age Groups'!T6</f>
        <v>25556</v>
      </c>
      <c r="P6" s="73">
        <f>'[1]All age Groups'!U6</f>
        <v>14968</v>
      </c>
      <c r="Q6" s="74">
        <f>'[1]All age Groups'!V6</f>
        <v>17889</v>
      </c>
      <c r="R6" s="73">
        <f>'[1]All age Groups'!W6</f>
        <v>13508</v>
      </c>
      <c r="S6" s="74">
        <f>'[1]All age Groups'!X6</f>
        <v>14603</v>
      </c>
      <c r="T6" s="73">
        <f>'[1]All age Groups'!Y6</f>
        <v>10952</v>
      </c>
      <c r="U6" s="74">
        <f>'[1]All age Groups'!Z6</f>
        <v>8397</v>
      </c>
      <c r="V6" s="73">
        <f>'[1]All age Groups'!AA6</f>
        <v>5841</v>
      </c>
      <c r="W6" s="74">
        <f>'[1]All age Groups'!AB6</f>
        <v>5476</v>
      </c>
      <c r="X6" s="73">
        <f>'[1]All age Groups'!AC6</f>
        <v>8032</v>
      </c>
      <c r="Y6" s="74">
        <f>'[1]All age Groups'!AD6</f>
        <v>15333</v>
      </c>
      <c r="Z6" s="73">
        <f>'[1]All age Groups'!AE6</f>
        <v>5111</v>
      </c>
      <c r="AA6" s="74">
        <f>'[1]All age Groups'!AF6</f>
        <v>4746</v>
      </c>
      <c r="AB6" s="73">
        <f>'[1]All age Groups'!AG6</f>
        <v>8032</v>
      </c>
      <c r="AC6" s="74">
        <f>'[1]All age Groups'!AH6</f>
        <v>6206</v>
      </c>
      <c r="AD6" s="73">
        <f>'[1]All age Groups'!AI6</f>
        <v>2556</v>
      </c>
      <c r="AE6" s="74">
        <f>'[1]All age Groups'!AJ6</f>
        <v>2190</v>
      </c>
      <c r="AF6" s="73">
        <f>'[1]All age Groups'!AK6</f>
        <v>3651</v>
      </c>
      <c r="AG6" s="74">
        <f>'[1]All age Groups'!AL6</f>
        <v>4381</v>
      </c>
      <c r="AH6" s="73">
        <f>'[1]All age Groups'!AM6</f>
        <v>1095</v>
      </c>
      <c r="AI6" s="74">
        <f>'[1]All age Groups'!AN6</f>
        <v>1095</v>
      </c>
      <c r="AJ6" s="73">
        <f>'[1]All age Groups'!AO6</f>
        <v>1825</v>
      </c>
      <c r="AK6" s="74">
        <f>'[1]All age Groups'!AP6</f>
        <v>3286</v>
      </c>
      <c r="AL6" s="75">
        <f t="shared" si="0"/>
        <v>361793</v>
      </c>
      <c r="AM6" s="75">
        <f t="shared" si="0"/>
        <v>366174</v>
      </c>
      <c r="AN6" s="76">
        <f t="shared" si="1"/>
        <v>727967</v>
      </c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</row>
    <row r="7" spans="1:57" x14ac:dyDescent="0.5">
      <c r="A7" s="71" t="str">
        <f>'[1]All age Groups'!C7</f>
        <v xml:space="preserve">Banadir  </v>
      </c>
      <c r="B7" s="72" t="str">
        <f>'[1]All age Groups'!D7</f>
        <v>Banadir</v>
      </c>
      <c r="C7" s="72" t="str">
        <f>'[1]All age Groups'!E7</f>
        <v>Dharkenley</v>
      </c>
      <c r="D7" s="73">
        <f>'[1]All age Groups'!I7</f>
        <v>10480</v>
      </c>
      <c r="E7" s="74">
        <f>'[1]All age Groups'!J7</f>
        <v>9700</v>
      </c>
      <c r="F7" s="73">
        <f>'[1]All age Groups'!K7</f>
        <v>10257</v>
      </c>
      <c r="G7" s="74">
        <f>'[1]All age Groups'!L7</f>
        <v>9700</v>
      </c>
      <c r="H7" s="73">
        <f>'[1]All age Groups'!M7</f>
        <v>9142</v>
      </c>
      <c r="I7" s="74">
        <f>'[1]All age Groups'!N7</f>
        <v>9142</v>
      </c>
      <c r="J7" s="73">
        <f>'[1]All age Groups'!O7</f>
        <v>6578</v>
      </c>
      <c r="K7" s="74">
        <f>'[1]All age Groups'!P7</f>
        <v>6522</v>
      </c>
      <c r="L7" s="73">
        <f>'[1]All age Groups'!Q7</f>
        <v>4292</v>
      </c>
      <c r="M7" s="74">
        <f>'[1]All age Groups'!R7</f>
        <v>4181</v>
      </c>
      <c r="N7" s="73">
        <f>'[1]All age Groups'!S7</f>
        <v>2954</v>
      </c>
      <c r="O7" s="74">
        <f>'[1]All age Groups'!T7</f>
        <v>3902</v>
      </c>
      <c r="P7" s="73">
        <f>'[1]All age Groups'!U7</f>
        <v>2286</v>
      </c>
      <c r="Q7" s="74">
        <f>'[1]All age Groups'!V7</f>
        <v>2731</v>
      </c>
      <c r="R7" s="73">
        <f>'[1]All age Groups'!W7</f>
        <v>2063</v>
      </c>
      <c r="S7" s="74">
        <f>'[1]All age Groups'!X7</f>
        <v>2230</v>
      </c>
      <c r="T7" s="73">
        <f>'[1]All age Groups'!Y7</f>
        <v>1672</v>
      </c>
      <c r="U7" s="74">
        <f>'[1]All age Groups'!Z7</f>
        <v>1282</v>
      </c>
      <c r="V7" s="73">
        <f>'[1]All age Groups'!AA7</f>
        <v>892</v>
      </c>
      <c r="W7" s="74">
        <f>'[1]All age Groups'!AB7</f>
        <v>836</v>
      </c>
      <c r="X7" s="73">
        <f>'[1]All age Groups'!AC7</f>
        <v>1226</v>
      </c>
      <c r="Y7" s="74">
        <f>'[1]All age Groups'!AD7</f>
        <v>2341</v>
      </c>
      <c r="Z7" s="73">
        <f>'[1]All age Groups'!AE7</f>
        <v>780</v>
      </c>
      <c r="AA7" s="74">
        <f>'[1]All age Groups'!AF7</f>
        <v>725</v>
      </c>
      <c r="AB7" s="73">
        <f>'[1]All age Groups'!AG7</f>
        <v>1226</v>
      </c>
      <c r="AC7" s="74">
        <f>'[1]All age Groups'!AH7</f>
        <v>948</v>
      </c>
      <c r="AD7" s="73">
        <f>'[1]All age Groups'!AI7</f>
        <v>390</v>
      </c>
      <c r="AE7" s="74">
        <f>'[1]All age Groups'!AJ7</f>
        <v>334</v>
      </c>
      <c r="AF7" s="73">
        <f>'[1]All age Groups'!AK7</f>
        <v>557</v>
      </c>
      <c r="AG7" s="74">
        <f>'[1]All age Groups'!AL7</f>
        <v>669</v>
      </c>
      <c r="AH7" s="73">
        <f>'[1]All age Groups'!AM7</f>
        <v>167</v>
      </c>
      <c r="AI7" s="74">
        <f>'[1]All age Groups'!AN7</f>
        <v>167</v>
      </c>
      <c r="AJ7" s="73">
        <f>'[1]All age Groups'!AO7</f>
        <v>279</v>
      </c>
      <c r="AK7" s="74">
        <f>'[1]All age Groups'!AP7</f>
        <v>502</v>
      </c>
      <c r="AL7" s="75">
        <f t="shared" si="0"/>
        <v>55241</v>
      </c>
      <c r="AM7" s="75">
        <f t="shared" si="0"/>
        <v>55912</v>
      </c>
      <c r="AN7" s="76">
        <f t="shared" si="1"/>
        <v>111153</v>
      </c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</row>
    <row r="8" spans="1:57" x14ac:dyDescent="0.5">
      <c r="A8" s="71" t="str">
        <f>'[1]All age Groups'!C8</f>
        <v xml:space="preserve">Banadir  </v>
      </c>
      <c r="B8" s="72" t="str">
        <f>'[1]All age Groups'!D8</f>
        <v>Banadir</v>
      </c>
      <c r="C8" s="72" t="str">
        <f>'[1]All age Groups'!E8</f>
        <v>Hamar Jabjab</v>
      </c>
      <c r="D8" s="73">
        <f>'[1]All age Groups'!I8</f>
        <v>4540</v>
      </c>
      <c r="E8" s="74">
        <f>'[1]All age Groups'!J8</f>
        <v>4202</v>
      </c>
      <c r="F8" s="73">
        <f>'[1]All age Groups'!K8</f>
        <v>4443</v>
      </c>
      <c r="G8" s="74">
        <f>'[1]All age Groups'!L8</f>
        <v>4202</v>
      </c>
      <c r="H8" s="73">
        <f>'[1]All age Groups'!M8</f>
        <v>3960</v>
      </c>
      <c r="I8" s="74">
        <f>'[1]All age Groups'!N8</f>
        <v>3960</v>
      </c>
      <c r="J8" s="73">
        <f>'[1]All age Groups'!O8</f>
        <v>2850</v>
      </c>
      <c r="K8" s="74">
        <f>'[1]All age Groups'!P8</f>
        <v>2825</v>
      </c>
      <c r="L8" s="73">
        <f>'[1]All age Groups'!Q8</f>
        <v>1859</v>
      </c>
      <c r="M8" s="74">
        <f>'[1]All age Groups'!R8</f>
        <v>1811</v>
      </c>
      <c r="N8" s="73">
        <f>'[1]All age Groups'!S8</f>
        <v>1280</v>
      </c>
      <c r="O8" s="74">
        <f>'[1]All age Groups'!T8</f>
        <v>1690</v>
      </c>
      <c r="P8" s="73">
        <f>'[1]All age Groups'!U8</f>
        <v>990</v>
      </c>
      <c r="Q8" s="74">
        <f>'[1]All age Groups'!V8</f>
        <v>1183</v>
      </c>
      <c r="R8" s="73">
        <f>'[1]All age Groups'!W8</f>
        <v>894</v>
      </c>
      <c r="S8" s="74">
        <f>'[1]All age Groups'!X8</f>
        <v>966</v>
      </c>
      <c r="T8" s="73">
        <f>'[1]All age Groups'!Y8</f>
        <v>724</v>
      </c>
      <c r="U8" s="74">
        <f>'[1]All age Groups'!Z8</f>
        <v>555</v>
      </c>
      <c r="V8" s="73">
        <f>'[1]All age Groups'!AA8</f>
        <v>386</v>
      </c>
      <c r="W8" s="74">
        <f>'[1]All age Groups'!AB8</f>
        <v>362</v>
      </c>
      <c r="X8" s="73">
        <f>'[1]All age Groups'!AC8</f>
        <v>531</v>
      </c>
      <c r="Y8" s="74">
        <f>'[1]All age Groups'!AD8</f>
        <v>1014</v>
      </c>
      <c r="Z8" s="73">
        <f>'[1]All age Groups'!AE8</f>
        <v>338</v>
      </c>
      <c r="AA8" s="74">
        <f>'[1]All age Groups'!AF8</f>
        <v>314</v>
      </c>
      <c r="AB8" s="73">
        <f>'[1]All age Groups'!AG8</f>
        <v>531</v>
      </c>
      <c r="AC8" s="74">
        <f>'[1]All age Groups'!AH8</f>
        <v>411</v>
      </c>
      <c r="AD8" s="73">
        <f>'[1]All age Groups'!AI8</f>
        <v>169</v>
      </c>
      <c r="AE8" s="74">
        <f>'[1]All age Groups'!AJ8</f>
        <v>145</v>
      </c>
      <c r="AF8" s="73">
        <f>'[1]All age Groups'!AK8</f>
        <v>241</v>
      </c>
      <c r="AG8" s="74">
        <f>'[1]All age Groups'!AL8</f>
        <v>290</v>
      </c>
      <c r="AH8" s="73">
        <f>'[1]All age Groups'!AM8</f>
        <v>72</v>
      </c>
      <c r="AI8" s="74">
        <f>'[1]All age Groups'!AN8</f>
        <v>72</v>
      </c>
      <c r="AJ8" s="73">
        <f>'[1]All age Groups'!AO8</f>
        <v>121</v>
      </c>
      <c r="AK8" s="74">
        <f>'[1]All age Groups'!AP8</f>
        <v>217</v>
      </c>
      <c r="AL8" s="75">
        <f t="shared" si="0"/>
        <v>23929</v>
      </c>
      <c r="AM8" s="75">
        <f t="shared" si="0"/>
        <v>24219</v>
      </c>
      <c r="AN8" s="76">
        <f t="shared" si="1"/>
        <v>48148</v>
      </c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</row>
    <row r="9" spans="1:57" x14ac:dyDescent="0.5">
      <c r="A9" s="71" t="str">
        <f>'[1]All age Groups'!C9</f>
        <v xml:space="preserve">Banadir  </v>
      </c>
      <c r="B9" s="72" t="str">
        <f>'[1]All age Groups'!D9</f>
        <v>Banadir</v>
      </c>
      <c r="C9" s="72" t="str">
        <f>'[1]All age Groups'!E9</f>
        <v>Hamar Weyne</v>
      </c>
      <c r="D9" s="73">
        <f>'[1]All age Groups'!I9</f>
        <v>6809</v>
      </c>
      <c r="E9" s="74">
        <f>'[1]All age Groups'!J9</f>
        <v>6302</v>
      </c>
      <c r="F9" s="73">
        <f>'[1]All age Groups'!K9</f>
        <v>6664</v>
      </c>
      <c r="G9" s="74">
        <f>'[1]All age Groups'!L9</f>
        <v>6302</v>
      </c>
      <c r="H9" s="73">
        <f>'[1]All age Groups'!M9</f>
        <v>5940</v>
      </c>
      <c r="I9" s="74">
        <f>'[1]All age Groups'!N9</f>
        <v>5940</v>
      </c>
      <c r="J9" s="73">
        <f>'[1]All age Groups'!O9</f>
        <v>4274</v>
      </c>
      <c r="K9" s="74">
        <f>'[1]All age Groups'!P9</f>
        <v>4238</v>
      </c>
      <c r="L9" s="73">
        <f>'[1]All age Groups'!Q9</f>
        <v>2789</v>
      </c>
      <c r="M9" s="74">
        <f>'[1]All age Groups'!R9</f>
        <v>2716</v>
      </c>
      <c r="N9" s="73">
        <f>'[1]All age Groups'!S9</f>
        <v>1920</v>
      </c>
      <c r="O9" s="74">
        <f>'[1]All age Groups'!T9</f>
        <v>2535</v>
      </c>
      <c r="P9" s="73">
        <f>'[1]All age Groups'!U9</f>
        <v>1485</v>
      </c>
      <c r="Q9" s="74">
        <f>'[1]All age Groups'!V9</f>
        <v>1775</v>
      </c>
      <c r="R9" s="73">
        <f>'[1]All age Groups'!W9</f>
        <v>1340</v>
      </c>
      <c r="S9" s="74">
        <f>'[1]All age Groups'!X9</f>
        <v>1449</v>
      </c>
      <c r="T9" s="73">
        <f>'[1]All age Groups'!Y9</f>
        <v>1087</v>
      </c>
      <c r="U9" s="74">
        <f>'[1]All age Groups'!Z9</f>
        <v>833</v>
      </c>
      <c r="V9" s="73">
        <f>'[1]All age Groups'!AA9</f>
        <v>580</v>
      </c>
      <c r="W9" s="74">
        <f>'[1]All age Groups'!AB9</f>
        <v>543</v>
      </c>
      <c r="X9" s="73">
        <f>'[1]All age Groups'!AC9</f>
        <v>797</v>
      </c>
      <c r="Y9" s="74">
        <f>'[1]All age Groups'!AD9</f>
        <v>1521</v>
      </c>
      <c r="Z9" s="73">
        <f>'[1]All age Groups'!AE9</f>
        <v>507</v>
      </c>
      <c r="AA9" s="74">
        <f>'[1]All age Groups'!AF9</f>
        <v>471</v>
      </c>
      <c r="AB9" s="73">
        <f>'[1]All age Groups'!AG9</f>
        <v>797</v>
      </c>
      <c r="AC9" s="74">
        <f>'[1]All age Groups'!AH9</f>
        <v>616</v>
      </c>
      <c r="AD9" s="73">
        <f>'[1]All age Groups'!AI9</f>
        <v>254</v>
      </c>
      <c r="AE9" s="74">
        <f>'[1]All age Groups'!AJ9</f>
        <v>217</v>
      </c>
      <c r="AF9" s="73">
        <f>'[1]All age Groups'!AK9</f>
        <v>362</v>
      </c>
      <c r="AG9" s="74">
        <f>'[1]All age Groups'!AL9</f>
        <v>435</v>
      </c>
      <c r="AH9" s="73">
        <f>'[1]All age Groups'!AM9</f>
        <v>109</v>
      </c>
      <c r="AI9" s="74">
        <f>'[1]All age Groups'!AN9</f>
        <v>109</v>
      </c>
      <c r="AJ9" s="73">
        <f>'[1]All age Groups'!AO9</f>
        <v>181</v>
      </c>
      <c r="AK9" s="74">
        <f>'[1]All age Groups'!AP9</f>
        <v>326</v>
      </c>
      <c r="AL9" s="75">
        <f t="shared" si="0"/>
        <v>35895</v>
      </c>
      <c r="AM9" s="75">
        <f t="shared" si="0"/>
        <v>36328</v>
      </c>
      <c r="AN9" s="76">
        <f t="shared" si="1"/>
        <v>72223</v>
      </c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</row>
    <row r="10" spans="1:57" x14ac:dyDescent="0.5">
      <c r="A10" s="71" t="str">
        <f>'[1]All age Groups'!C10</f>
        <v xml:space="preserve">Banadir  </v>
      </c>
      <c r="B10" s="72" t="str">
        <f>'[1]All age Groups'!D10</f>
        <v>Banadir</v>
      </c>
      <c r="C10" s="72" t="str">
        <f>'[1]All age Groups'!E10</f>
        <v>Hawl Wadaag</v>
      </c>
      <c r="D10" s="73">
        <f>'[1]All age Groups'!I10</f>
        <v>11118</v>
      </c>
      <c r="E10" s="74">
        <f>'[1]All age Groups'!J10</f>
        <v>10290</v>
      </c>
      <c r="F10" s="73">
        <f>'[1]All age Groups'!K10</f>
        <v>10881</v>
      </c>
      <c r="G10" s="74">
        <f>'[1]All age Groups'!L10</f>
        <v>10290</v>
      </c>
      <c r="H10" s="73">
        <f>'[1]All age Groups'!M10</f>
        <v>9699</v>
      </c>
      <c r="I10" s="74">
        <f>'[1]All age Groups'!N10</f>
        <v>9699</v>
      </c>
      <c r="J10" s="73">
        <f>'[1]All age Groups'!O10</f>
        <v>6978</v>
      </c>
      <c r="K10" s="74">
        <f>'[1]All age Groups'!P10</f>
        <v>6919</v>
      </c>
      <c r="L10" s="73">
        <f>'[1]All age Groups'!Q10</f>
        <v>4554</v>
      </c>
      <c r="M10" s="74">
        <f>'[1]All age Groups'!R10</f>
        <v>4435</v>
      </c>
      <c r="N10" s="73">
        <f>'[1]All age Groups'!S10</f>
        <v>3134</v>
      </c>
      <c r="O10" s="74">
        <f>'[1]All age Groups'!T10</f>
        <v>4140</v>
      </c>
      <c r="P10" s="73">
        <f>'[1]All age Groups'!U10</f>
        <v>2425</v>
      </c>
      <c r="Q10" s="74">
        <f>'[1]All age Groups'!V10</f>
        <v>2898</v>
      </c>
      <c r="R10" s="73">
        <f>'[1]All age Groups'!W10</f>
        <v>2188</v>
      </c>
      <c r="S10" s="74">
        <f>'[1]All age Groups'!X10</f>
        <v>2366</v>
      </c>
      <c r="T10" s="73">
        <f>'[1]All age Groups'!Y10</f>
        <v>1774</v>
      </c>
      <c r="U10" s="74">
        <f>'[1]All age Groups'!Z10</f>
        <v>1360</v>
      </c>
      <c r="V10" s="73">
        <f>'[1]All age Groups'!AA10</f>
        <v>946</v>
      </c>
      <c r="W10" s="74">
        <f>'[1]All age Groups'!AB10</f>
        <v>887</v>
      </c>
      <c r="X10" s="73">
        <f>'[1]All age Groups'!AC10</f>
        <v>1301</v>
      </c>
      <c r="Y10" s="74">
        <f>'[1]All age Groups'!AD10</f>
        <v>2484</v>
      </c>
      <c r="Z10" s="73">
        <f>'[1]All age Groups'!AE10</f>
        <v>828</v>
      </c>
      <c r="AA10" s="74">
        <f>'[1]All age Groups'!AF10</f>
        <v>769</v>
      </c>
      <c r="AB10" s="73">
        <f>'[1]All age Groups'!AG10</f>
        <v>1301</v>
      </c>
      <c r="AC10" s="74">
        <f>'[1]All age Groups'!AH10</f>
        <v>1005</v>
      </c>
      <c r="AD10" s="73">
        <f>'[1]All age Groups'!AI10</f>
        <v>414</v>
      </c>
      <c r="AE10" s="74">
        <f>'[1]All age Groups'!AJ10</f>
        <v>355</v>
      </c>
      <c r="AF10" s="73">
        <f>'[1]All age Groups'!AK10</f>
        <v>591</v>
      </c>
      <c r="AG10" s="74">
        <f>'[1]All age Groups'!AL10</f>
        <v>710</v>
      </c>
      <c r="AH10" s="73">
        <f>'[1]All age Groups'!AM10</f>
        <v>177</v>
      </c>
      <c r="AI10" s="74">
        <f>'[1]All age Groups'!AN10</f>
        <v>177</v>
      </c>
      <c r="AJ10" s="73">
        <f>'[1]All age Groups'!AO10</f>
        <v>296</v>
      </c>
      <c r="AK10" s="74">
        <f>'[1]All age Groups'!AP10</f>
        <v>532</v>
      </c>
      <c r="AL10" s="75">
        <f t="shared" si="0"/>
        <v>58605</v>
      </c>
      <c r="AM10" s="75">
        <f t="shared" si="0"/>
        <v>59316</v>
      </c>
      <c r="AN10" s="76">
        <f t="shared" si="1"/>
        <v>117921</v>
      </c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x14ac:dyDescent="0.5">
      <c r="A11" s="71" t="str">
        <f>'[1]All age Groups'!C11</f>
        <v xml:space="preserve">Banadir  </v>
      </c>
      <c r="B11" s="72" t="str">
        <f>'[1]All age Groups'!D11</f>
        <v>Banadir</v>
      </c>
      <c r="C11" s="72" t="str">
        <f>'[1]All age Groups'!E11</f>
        <v>Heliwa</v>
      </c>
      <c r="D11" s="73">
        <f>'[1]All age Groups'!I11</f>
        <v>34495</v>
      </c>
      <c r="E11" s="74">
        <f>'[1]All age Groups'!J11</f>
        <v>31926</v>
      </c>
      <c r="F11" s="73">
        <f>'[1]All age Groups'!K11</f>
        <v>33761</v>
      </c>
      <c r="G11" s="74">
        <f>'[1]All age Groups'!L11</f>
        <v>31926</v>
      </c>
      <c r="H11" s="73">
        <f>'[1]All age Groups'!M11</f>
        <v>30092</v>
      </c>
      <c r="I11" s="74">
        <f>'[1]All age Groups'!N11</f>
        <v>30092</v>
      </c>
      <c r="J11" s="73">
        <f>'[1]All age Groups'!O11</f>
        <v>21651</v>
      </c>
      <c r="K11" s="74">
        <f>'[1]All age Groups'!P11</f>
        <v>21468</v>
      </c>
      <c r="L11" s="73">
        <f>'[1]All age Groups'!Q11</f>
        <v>14128</v>
      </c>
      <c r="M11" s="74">
        <f>'[1]All age Groups'!R11</f>
        <v>13761</v>
      </c>
      <c r="N11" s="73">
        <f>'[1]All age Groups'!S11</f>
        <v>9725</v>
      </c>
      <c r="O11" s="74">
        <f>'[1]All age Groups'!T11</f>
        <v>12844</v>
      </c>
      <c r="P11" s="73">
        <f>'[1]All age Groups'!U11</f>
        <v>7523</v>
      </c>
      <c r="Q11" s="74">
        <f>'[1]All age Groups'!V11</f>
        <v>8991</v>
      </c>
      <c r="R11" s="73">
        <f>'[1]All age Groups'!W11</f>
        <v>6789</v>
      </c>
      <c r="S11" s="74">
        <f>'[1]All age Groups'!X11</f>
        <v>7339</v>
      </c>
      <c r="T11" s="73">
        <f>'[1]All age Groups'!Y11</f>
        <v>5505</v>
      </c>
      <c r="U11" s="74">
        <f>'[1]All age Groups'!Z11</f>
        <v>4220</v>
      </c>
      <c r="V11" s="73">
        <f>'[1]All age Groups'!AA11</f>
        <v>2936</v>
      </c>
      <c r="W11" s="74">
        <f>'[1]All age Groups'!AB11</f>
        <v>2752</v>
      </c>
      <c r="X11" s="73">
        <f>'[1]All age Groups'!AC11</f>
        <v>4037</v>
      </c>
      <c r="Y11" s="74">
        <f>'[1]All age Groups'!AD11</f>
        <v>7706</v>
      </c>
      <c r="Z11" s="73">
        <f>'[1]All age Groups'!AE11</f>
        <v>2569</v>
      </c>
      <c r="AA11" s="74">
        <f>'[1]All age Groups'!AF11</f>
        <v>2385</v>
      </c>
      <c r="AB11" s="73">
        <f>'[1]All age Groups'!AG11</f>
        <v>4037</v>
      </c>
      <c r="AC11" s="74">
        <f>'[1]All age Groups'!AH11</f>
        <v>3119</v>
      </c>
      <c r="AD11" s="73">
        <f>'[1]All age Groups'!AI11</f>
        <v>1284</v>
      </c>
      <c r="AE11" s="74">
        <f>'[1]All age Groups'!AJ11</f>
        <v>1101</v>
      </c>
      <c r="AF11" s="73">
        <f>'[1]All age Groups'!AK11</f>
        <v>1835</v>
      </c>
      <c r="AG11" s="74">
        <f>'[1]All age Groups'!AL11</f>
        <v>2202</v>
      </c>
      <c r="AH11" s="73">
        <f>'[1]All age Groups'!AM11</f>
        <v>550</v>
      </c>
      <c r="AI11" s="74">
        <f>'[1]All age Groups'!AN11</f>
        <v>550</v>
      </c>
      <c r="AJ11" s="73">
        <f>'[1]All age Groups'!AO11</f>
        <v>917</v>
      </c>
      <c r="AK11" s="74">
        <f>'[1]All age Groups'!AP11</f>
        <v>1651</v>
      </c>
      <c r="AL11" s="75">
        <f t="shared" si="0"/>
        <v>181834</v>
      </c>
      <c r="AM11" s="75">
        <f t="shared" si="0"/>
        <v>184033</v>
      </c>
      <c r="AN11" s="76">
        <f t="shared" si="1"/>
        <v>365867</v>
      </c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</row>
    <row r="12" spans="1:57" x14ac:dyDescent="0.5">
      <c r="A12" s="71" t="str">
        <f>'[1]All age Groups'!C12</f>
        <v xml:space="preserve">Banadir  </v>
      </c>
      <c r="B12" s="72" t="str">
        <f>'[1]All age Groups'!D12</f>
        <v>Banadir</v>
      </c>
      <c r="C12" s="72" t="str">
        <f>'[1]All age Groups'!E12</f>
        <v>Hodan</v>
      </c>
      <c r="D12" s="73">
        <f>'[1]All age Groups'!I12</f>
        <v>10375</v>
      </c>
      <c r="E12" s="74">
        <f>'[1]All age Groups'!J12</f>
        <v>9602</v>
      </c>
      <c r="F12" s="73">
        <f>'[1]All age Groups'!K12</f>
        <v>10154</v>
      </c>
      <c r="G12" s="74">
        <f>'[1]All age Groups'!L12</f>
        <v>9602</v>
      </c>
      <c r="H12" s="73">
        <f>'[1]All age Groups'!M12</f>
        <v>9050</v>
      </c>
      <c r="I12" s="74">
        <f>'[1]All age Groups'!N12</f>
        <v>9050</v>
      </c>
      <c r="J12" s="73">
        <f>'[1]All age Groups'!O12</f>
        <v>6512</v>
      </c>
      <c r="K12" s="74">
        <f>'[1]All age Groups'!P12</f>
        <v>6457</v>
      </c>
      <c r="L12" s="73">
        <f>'[1]All age Groups'!Q12</f>
        <v>4249</v>
      </c>
      <c r="M12" s="74">
        <f>'[1]All age Groups'!R12</f>
        <v>4139</v>
      </c>
      <c r="N12" s="73">
        <f>'[1]All age Groups'!S12</f>
        <v>2925</v>
      </c>
      <c r="O12" s="74">
        <f>'[1]All age Groups'!T12</f>
        <v>3863</v>
      </c>
      <c r="P12" s="73">
        <f>'[1]All age Groups'!U12</f>
        <v>2263</v>
      </c>
      <c r="Q12" s="74">
        <f>'[1]All age Groups'!V12</f>
        <v>2704</v>
      </c>
      <c r="R12" s="73">
        <f>'[1]All age Groups'!W12</f>
        <v>2042</v>
      </c>
      <c r="S12" s="74">
        <f>'[1]All age Groups'!X12</f>
        <v>2207</v>
      </c>
      <c r="T12" s="73">
        <f>'[1]All age Groups'!Y12</f>
        <v>1656</v>
      </c>
      <c r="U12" s="74">
        <f>'[1]All age Groups'!Z12</f>
        <v>1269</v>
      </c>
      <c r="V12" s="73">
        <f>'[1]All age Groups'!AA12</f>
        <v>883</v>
      </c>
      <c r="W12" s="74">
        <f>'[1]All age Groups'!AB12</f>
        <v>828</v>
      </c>
      <c r="X12" s="73">
        <f>'[1]All age Groups'!AC12</f>
        <v>1214</v>
      </c>
      <c r="Y12" s="74">
        <f>'[1]All age Groups'!AD12</f>
        <v>2318</v>
      </c>
      <c r="Z12" s="73">
        <f>'[1]All age Groups'!AE12</f>
        <v>773</v>
      </c>
      <c r="AA12" s="74">
        <f>'[1]All age Groups'!AF12</f>
        <v>717</v>
      </c>
      <c r="AB12" s="73">
        <f>'[1]All age Groups'!AG12</f>
        <v>1214</v>
      </c>
      <c r="AC12" s="74">
        <f>'[1]All age Groups'!AH12</f>
        <v>938</v>
      </c>
      <c r="AD12" s="73">
        <f>'[1]All age Groups'!AI12</f>
        <v>386</v>
      </c>
      <c r="AE12" s="74">
        <f>'[1]All age Groups'!AJ12</f>
        <v>331</v>
      </c>
      <c r="AF12" s="73">
        <f>'[1]All age Groups'!AK12</f>
        <v>552</v>
      </c>
      <c r="AG12" s="74">
        <f>'[1]All age Groups'!AL12</f>
        <v>662</v>
      </c>
      <c r="AH12" s="73">
        <f>'[1]All age Groups'!AM12</f>
        <v>166</v>
      </c>
      <c r="AI12" s="74">
        <f>'[1]All age Groups'!AN12</f>
        <v>166</v>
      </c>
      <c r="AJ12" s="73">
        <f>'[1]All age Groups'!AO12</f>
        <v>276</v>
      </c>
      <c r="AK12" s="74">
        <f>'[1]All age Groups'!AP12</f>
        <v>497</v>
      </c>
      <c r="AL12" s="75">
        <f t="shared" si="0"/>
        <v>54690</v>
      </c>
      <c r="AM12" s="75">
        <f t="shared" si="0"/>
        <v>55350</v>
      </c>
      <c r="AN12" s="76">
        <f t="shared" si="1"/>
        <v>110040</v>
      </c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</row>
    <row r="13" spans="1:57" x14ac:dyDescent="0.5">
      <c r="A13" s="71" t="str">
        <f>'[1]All age Groups'!C13</f>
        <v xml:space="preserve">Banadir  </v>
      </c>
      <c r="B13" s="72" t="str">
        <f>'[1]All age Groups'!D13</f>
        <v>Banadir</v>
      </c>
      <c r="C13" s="72" t="str">
        <f>'[1]All age Groups'!E13</f>
        <v>Kahda</v>
      </c>
      <c r="D13" s="73">
        <f>'[1]All age Groups'!I13</f>
        <v>47611</v>
      </c>
      <c r="E13" s="74">
        <f>'[1]All age Groups'!J13</f>
        <v>44066</v>
      </c>
      <c r="F13" s="73">
        <f>'[1]All age Groups'!K13</f>
        <v>46598</v>
      </c>
      <c r="G13" s="74">
        <f>'[1]All age Groups'!L13</f>
        <v>44066</v>
      </c>
      <c r="H13" s="73">
        <f>'[1]All age Groups'!M13</f>
        <v>41533</v>
      </c>
      <c r="I13" s="74">
        <f>'[1]All age Groups'!N13</f>
        <v>41533</v>
      </c>
      <c r="J13" s="73">
        <f>'[1]All age Groups'!O13</f>
        <v>29884</v>
      </c>
      <c r="K13" s="74">
        <f>'[1]All age Groups'!P13</f>
        <v>29631</v>
      </c>
      <c r="L13" s="73">
        <f>'[1]All age Groups'!Q13</f>
        <v>19500</v>
      </c>
      <c r="M13" s="74">
        <f>'[1]All age Groups'!R13</f>
        <v>18994</v>
      </c>
      <c r="N13" s="73">
        <f>'[1]All age Groups'!S13</f>
        <v>13422</v>
      </c>
      <c r="O13" s="74">
        <f>'[1]All age Groups'!T13</f>
        <v>17728</v>
      </c>
      <c r="P13" s="73">
        <f>'[1]All age Groups'!U13</f>
        <v>10383</v>
      </c>
      <c r="Q13" s="74">
        <f>'[1]All age Groups'!V13</f>
        <v>12409</v>
      </c>
      <c r="R13" s="73">
        <f>'[1]All age Groups'!W13</f>
        <v>9370</v>
      </c>
      <c r="S13" s="74">
        <f>'[1]All age Groups'!X13</f>
        <v>10130</v>
      </c>
      <c r="T13" s="73">
        <f>'[1]All age Groups'!Y13</f>
        <v>7598</v>
      </c>
      <c r="U13" s="74">
        <f>'[1]All age Groups'!Z13</f>
        <v>5825</v>
      </c>
      <c r="V13" s="73">
        <f>'[1]All age Groups'!AA13</f>
        <v>4052</v>
      </c>
      <c r="W13" s="74">
        <f>'[1]All age Groups'!AB13</f>
        <v>3799</v>
      </c>
      <c r="X13" s="73">
        <f>'[1]All age Groups'!AC13</f>
        <v>5572</v>
      </c>
      <c r="Y13" s="74">
        <f>'[1]All age Groups'!AD13</f>
        <v>10637</v>
      </c>
      <c r="Z13" s="73">
        <f>'[1]All age Groups'!AE13</f>
        <v>3546</v>
      </c>
      <c r="AA13" s="74">
        <f>'[1]All age Groups'!AF13</f>
        <v>3292</v>
      </c>
      <c r="AB13" s="73">
        <f>'[1]All age Groups'!AG13</f>
        <v>5572</v>
      </c>
      <c r="AC13" s="74">
        <f>'[1]All age Groups'!AH13</f>
        <v>4305</v>
      </c>
      <c r="AD13" s="73">
        <f>'[1]All age Groups'!AI13</f>
        <v>1773</v>
      </c>
      <c r="AE13" s="74">
        <f>'[1]All age Groups'!AJ13</f>
        <v>1520</v>
      </c>
      <c r="AF13" s="73">
        <f>'[1]All age Groups'!AK13</f>
        <v>2533</v>
      </c>
      <c r="AG13" s="74">
        <f>'[1]All age Groups'!AL13</f>
        <v>3039</v>
      </c>
      <c r="AH13" s="73">
        <f>'[1]All age Groups'!AM13</f>
        <v>760</v>
      </c>
      <c r="AI13" s="74">
        <f>'[1]All age Groups'!AN13</f>
        <v>760</v>
      </c>
      <c r="AJ13" s="73">
        <f>'[1]All age Groups'!AO13</f>
        <v>1266</v>
      </c>
      <c r="AK13" s="74">
        <f>'[1]All age Groups'!AP13</f>
        <v>2279</v>
      </c>
      <c r="AL13" s="75">
        <f t="shared" si="0"/>
        <v>250973</v>
      </c>
      <c r="AM13" s="75">
        <f t="shared" si="0"/>
        <v>254013</v>
      </c>
      <c r="AN13" s="76">
        <f t="shared" si="1"/>
        <v>504986</v>
      </c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</row>
    <row r="14" spans="1:57" x14ac:dyDescent="0.5">
      <c r="A14" s="71" t="str">
        <f>'[1]All age Groups'!C14</f>
        <v xml:space="preserve">Banadir  </v>
      </c>
      <c r="B14" s="72" t="str">
        <f>'[1]All age Groups'!D14</f>
        <v>Banadir</v>
      </c>
      <c r="C14" s="72" t="str">
        <f>'[1]All age Groups'!E14</f>
        <v>Karaan</v>
      </c>
      <c r="D14" s="73">
        <f>'[1]All age Groups'!I14</f>
        <v>12406</v>
      </c>
      <c r="E14" s="74">
        <f>'[1]All age Groups'!J14</f>
        <v>11482</v>
      </c>
      <c r="F14" s="73">
        <f>'[1]All age Groups'!K14</f>
        <v>12142</v>
      </c>
      <c r="G14" s="74">
        <f>'[1]All age Groups'!L14</f>
        <v>11482</v>
      </c>
      <c r="H14" s="73">
        <f>'[1]All age Groups'!M14</f>
        <v>10822</v>
      </c>
      <c r="I14" s="74">
        <f>'[1]All age Groups'!N14</f>
        <v>10822</v>
      </c>
      <c r="J14" s="73">
        <f>'[1]All age Groups'!O14</f>
        <v>7787</v>
      </c>
      <c r="K14" s="74">
        <f>'[1]All age Groups'!P14</f>
        <v>7721</v>
      </c>
      <c r="L14" s="73">
        <f>'[1]All age Groups'!Q14</f>
        <v>5081</v>
      </c>
      <c r="M14" s="74">
        <f>'[1]All age Groups'!R14</f>
        <v>4949</v>
      </c>
      <c r="N14" s="73">
        <f>'[1]All age Groups'!S14</f>
        <v>3497</v>
      </c>
      <c r="O14" s="74">
        <f>'[1]All age Groups'!T14</f>
        <v>4619</v>
      </c>
      <c r="P14" s="73">
        <f>'[1]All age Groups'!U14</f>
        <v>2706</v>
      </c>
      <c r="Q14" s="74">
        <f>'[1]All age Groups'!V14</f>
        <v>3234</v>
      </c>
      <c r="R14" s="73">
        <f>'[1]All age Groups'!W14</f>
        <v>2442</v>
      </c>
      <c r="S14" s="74">
        <f>'[1]All age Groups'!X14</f>
        <v>2640</v>
      </c>
      <c r="T14" s="73">
        <f>'[1]All age Groups'!Y14</f>
        <v>1980</v>
      </c>
      <c r="U14" s="74">
        <f>'[1]All age Groups'!Z14</f>
        <v>1518</v>
      </c>
      <c r="V14" s="73">
        <f>'[1]All age Groups'!AA14</f>
        <v>1056</v>
      </c>
      <c r="W14" s="74">
        <f>'[1]All age Groups'!AB14</f>
        <v>990</v>
      </c>
      <c r="X14" s="73">
        <f>'[1]All age Groups'!AC14</f>
        <v>1452</v>
      </c>
      <c r="Y14" s="74">
        <f>'[1]All age Groups'!AD14</f>
        <v>2772</v>
      </c>
      <c r="Z14" s="73">
        <f>'[1]All age Groups'!AE14</f>
        <v>924</v>
      </c>
      <c r="AA14" s="74">
        <f>'[1]All age Groups'!AF14</f>
        <v>858</v>
      </c>
      <c r="AB14" s="73">
        <f>'[1]All age Groups'!AG14</f>
        <v>1452</v>
      </c>
      <c r="AC14" s="74">
        <f>'[1]All age Groups'!AH14</f>
        <v>1122</v>
      </c>
      <c r="AD14" s="73">
        <f>'[1]All age Groups'!AI14</f>
        <v>462</v>
      </c>
      <c r="AE14" s="74">
        <f>'[1]All age Groups'!AJ14</f>
        <v>396</v>
      </c>
      <c r="AF14" s="73">
        <f>'[1]All age Groups'!AK14</f>
        <v>660</v>
      </c>
      <c r="AG14" s="74">
        <f>'[1]All age Groups'!AL14</f>
        <v>792</v>
      </c>
      <c r="AH14" s="73">
        <f>'[1]All age Groups'!AM14</f>
        <v>198</v>
      </c>
      <c r="AI14" s="74">
        <f>'[1]All age Groups'!AN14</f>
        <v>198</v>
      </c>
      <c r="AJ14" s="73">
        <f>'[1]All age Groups'!AO14</f>
        <v>330</v>
      </c>
      <c r="AK14" s="74">
        <f>'[1]All age Groups'!AP14</f>
        <v>594</v>
      </c>
      <c r="AL14" s="75">
        <f t="shared" si="0"/>
        <v>65397</v>
      </c>
      <c r="AM14" s="75">
        <f t="shared" si="0"/>
        <v>66189</v>
      </c>
      <c r="AN14" s="76">
        <f t="shared" si="1"/>
        <v>131586</v>
      </c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</row>
    <row r="15" spans="1:57" x14ac:dyDescent="0.5">
      <c r="A15" s="71" t="str">
        <f>'[1]All age Groups'!C15</f>
        <v xml:space="preserve">Banadir  </v>
      </c>
      <c r="B15" s="72" t="str">
        <f>'[1]All age Groups'!D15</f>
        <v>Banadir</v>
      </c>
      <c r="C15" s="72" t="str">
        <f>'[1]All age Groups'!E15</f>
        <v>Shangaani</v>
      </c>
      <c r="D15" s="73">
        <f>'[1]All age Groups'!I15</f>
        <v>2579</v>
      </c>
      <c r="E15" s="74">
        <f>'[1]All age Groups'!J15</f>
        <v>2387</v>
      </c>
      <c r="F15" s="73">
        <f>'[1]All age Groups'!K15</f>
        <v>2524</v>
      </c>
      <c r="G15" s="74">
        <f>'[1]All age Groups'!L15</f>
        <v>2387</v>
      </c>
      <c r="H15" s="73">
        <f>'[1]All age Groups'!M15</f>
        <v>2249</v>
      </c>
      <c r="I15" s="74">
        <f>'[1]All age Groups'!N15</f>
        <v>2249</v>
      </c>
      <c r="J15" s="73">
        <f>'[1]All age Groups'!O15</f>
        <v>1618</v>
      </c>
      <c r="K15" s="74">
        <f>'[1]All age Groups'!P15</f>
        <v>1605</v>
      </c>
      <c r="L15" s="73">
        <f>'[1]All age Groups'!Q15</f>
        <v>1056</v>
      </c>
      <c r="M15" s="74">
        <f>'[1]All age Groups'!R15</f>
        <v>1029</v>
      </c>
      <c r="N15" s="73">
        <f>'[1]All age Groups'!S15</f>
        <v>727</v>
      </c>
      <c r="O15" s="74">
        <f>'[1]All age Groups'!T15</f>
        <v>960</v>
      </c>
      <c r="P15" s="73">
        <f>'[1]All age Groups'!U15</f>
        <v>562</v>
      </c>
      <c r="Q15" s="74">
        <f>'[1]All age Groups'!V15</f>
        <v>672</v>
      </c>
      <c r="R15" s="73">
        <f>'[1]All age Groups'!W15</f>
        <v>507</v>
      </c>
      <c r="S15" s="74">
        <f>'[1]All age Groups'!X15</f>
        <v>549</v>
      </c>
      <c r="T15" s="73">
        <f>'[1]All age Groups'!Y15</f>
        <v>411</v>
      </c>
      <c r="U15" s="74">
        <f>'[1]All age Groups'!Z15</f>
        <v>315</v>
      </c>
      <c r="V15" s="73">
        <f>'[1]All age Groups'!AA15</f>
        <v>219</v>
      </c>
      <c r="W15" s="74">
        <f>'[1]All age Groups'!AB15</f>
        <v>206</v>
      </c>
      <c r="X15" s="73">
        <f>'[1]All age Groups'!AC15</f>
        <v>302</v>
      </c>
      <c r="Y15" s="74">
        <f>'[1]All age Groups'!AD15</f>
        <v>576</v>
      </c>
      <c r="Z15" s="73">
        <f>'[1]All age Groups'!AE15</f>
        <v>192</v>
      </c>
      <c r="AA15" s="74">
        <f>'[1]All age Groups'!AF15</f>
        <v>178</v>
      </c>
      <c r="AB15" s="73">
        <f>'[1]All age Groups'!AG15</f>
        <v>302</v>
      </c>
      <c r="AC15" s="74">
        <f>'[1]All age Groups'!AH15</f>
        <v>233</v>
      </c>
      <c r="AD15" s="73">
        <f>'[1]All age Groups'!AI15</f>
        <v>96</v>
      </c>
      <c r="AE15" s="74">
        <f>'[1]All age Groups'!AJ15</f>
        <v>82</v>
      </c>
      <c r="AF15" s="73">
        <f>'[1]All age Groups'!AK15</f>
        <v>137</v>
      </c>
      <c r="AG15" s="74">
        <f>'[1]All age Groups'!AL15</f>
        <v>165</v>
      </c>
      <c r="AH15" s="73">
        <f>'[1]All age Groups'!AM15</f>
        <v>41</v>
      </c>
      <c r="AI15" s="74">
        <f>'[1]All age Groups'!AN15</f>
        <v>41</v>
      </c>
      <c r="AJ15" s="73">
        <f>'[1]All age Groups'!AO15</f>
        <v>69</v>
      </c>
      <c r="AK15" s="74">
        <f>'[1]All age Groups'!AP15</f>
        <v>123</v>
      </c>
      <c r="AL15" s="75">
        <f t="shared" si="0"/>
        <v>13591</v>
      </c>
      <c r="AM15" s="75">
        <f t="shared" si="0"/>
        <v>13757</v>
      </c>
      <c r="AN15" s="76">
        <f t="shared" si="1"/>
        <v>27348</v>
      </c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</row>
    <row r="16" spans="1:57" x14ac:dyDescent="0.5">
      <c r="A16" s="71" t="str">
        <f>'[1]All age Groups'!C16</f>
        <v xml:space="preserve">Banadir  </v>
      </c>
      <c r="B16" s="72" t="str">
        <f>'[1]All age Groups'!D16</f>
        <v>Banadir</v>
      </c>
      <c r="C16" s="72" t="str">
        <f>'[1]All age Groups'!E16</f>
        <v>Shibis</v>
      </c>
      <c r="D16" s="73">
        <f>'[1]All age Groups'!I16</f>
        <v>12079</v>
      </c>
      <c r="E16" s="74">
        <f>'[1]All age Groups'!J16</f>
        <v>11180</v>
      </c>
      <c r="F16" s="73">
        <f>'[1]All age Groups'!K16</f>
        <v>11822</v>
      </c>
      <c r="G16" s="74">
        <f>'[1]All age Groups'!L16</f>
        <v>11180</v>
      </c>
      <c r="H16" s="73">
        <f>'[1]All age Groups'!M16</f>
        <v>10537</v>
      </c>
      <c r="I16" s="74">
        <f>'[1]All age Groups'!N16</f>
        <v>10537</v>
      </c>
      <c r="J16" s="73">
        <f>'[1]All age Groups'!O16</f>
        <v>7582</v>
      </c>
      <c r="K16" s="74">
        <f>'[1]All age Groups'!P16</f>
        <v>7518</v>
      </c>
      <c r="L16" s="73">
        <f>'[1]All age Groups'!Q16</f>
        <v>4947</v>
      </c>
      <c r="M16" s="74">
        <f>'[1]All age Groups'!R16</f>
        <v>4819</v>
      </c>
      <c r="N16" s="73">
        <f>'[1]All age Groups'!S16</f>
        <v>3405</v>
      </c>
      <c r="O16" s="74">
        <f>'[1]All age Groups'!T16</f>
        <v>4498</v>
      </c>
      <c r="P16" s="73">
        <f>'[1]All age Groups'!U16</f>
        <v>2634</v>
      </c>
      <c r="Q16" s="74">
        <f>'[1]All age Groups'!V16</f>
        <v>3148</v>
      </c>
      <c r="R16" s="73">
        <f>'[1]All age Groups'!W16</f>
        <v>2377</v>
      </c>
      <c r="S16" s="74">
        <f>'[1]All age Groups'!X16</f>
        <v>2570</v>
      </c>
      <c r="T16" s="73">
        <f>'[1]All age Groups'!Y16</f>
        <v>1928</v>
      </c>
      <c r="U16" s="74">
        <f>'[1]All age Groups'!Z16</f>
        <v>1478</v>
      </c>
      <c r="V16" s="73">
        <f>'[1]All age Groups'!AA16</f>
        <v>1028</v>
      </c>
      <c r="W16" s="74">
        <f>'[1]All age Groups'!AB16</f>
        <v>964</v>
      </c>
      <c r="X16" s="73">
        <f>'[1]All age Groups'!AC16</f>
        <v>1414</v>
      </c>
      <c r="Y16" s="74">
        <f>'[1]All age Groups'!AD16</f>
        <v>2699</v>
      </c>
      <c r="Z16" s="73">
        <f>'[1]All age Groups'!AE16</f>
        <v>900</v>
      </c>
      <c r="AA16" s="74">
        <f>'[1]All age Groups'!AF16</f>
        <v>835</v>
      </c>
      <c r="AB16" s="73">
        <f>'[1]All age Groups'!AG16</f>
        <v>1414</v>
      </c>
      <c r="AC16" s="74">
        <f>'[1]All age Groups'!AH16</f>
        <v>1092</v>
      </c>
      <c r="AD16" s="73">
        <f>'[1]All age Groups'!AI16</f>
        <v>450</v>
      </c>
      <c r="AE16" s="74">
        <f>'[1]All age Groups'!AJ16</f>
        <v>386</v>
      </c>
      <c r="AF16" s="73">
        <f>'[1]All age Groups'!AK16</f>
        <v>643</v>
      </c>
      <c r="AG16" s="74">
        <f>'[1]All age Groups'!AL16</f>
        <v>771</v>
      </c>
      <c r="AH16" s="73">
        <f>'[1]All age Groups'!AM16</f>
        <v>193</v>
      </c>
      <c r="AI16" s="74">
        <f>'[1]All age Groups'!AN16</f>
        <v>193</v>
      </c>
      <c r="AJ16" s="73">
        <f>'[1]All age Groups'!AO16</f>
        <v>321</v>
      </c>
      <c r="AK16" s="74">
        <f>'[1]All age Groups'!AP16</f>
        <v>578</v>
      </c>
      <c r="AL16" s="75">
        <f t="shared" si="0"/>
        <v>63674</v>
      </c>
      <c r="AM16" s="75">
        <f t="shared" si="0"/>
        <v>64446</v>
      </c>
      <c r="AN16" s="76">
        <f t="shared" si="1"/>
        <v>128120</v>
      </c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</row>
    <row r="17" spans="1:57" x14ac:dyDescent="0.5">
      <c r="A17" s="71" t="str">
        <f>'[1]All age Groups'!C17</f>
        <v xml:space="preserve">Banadir  </v>
      </c>
      <c r="B17" s="72" t="str">
        <f>'[1]All age Groups'!D17</f>
        <v>Banadir</v>
      </c>
      <c r="C17" s="72" t="str">
        <f>'[1]All age Groups'!E17</f>
        <v>Waaberi</v>
      </c>
      <c r="D17" s="73">
        <f>'[1]All age Groups'!I17</f>
        <v>6468</v>
      </c>
      <c r="E17" s="74">
        <f>'[1]All age Groups'!J17</f>
        <v>5986</v>
      </c>
      <c r="F17" s="73">
        <f>'[1]All age Groups'!K17</f>
        <v>6330</v>
      </c>
      <c r="G17" s="74">
        <f>'[1]All age Groups'!L17</f>
        <v>5986</v>
      </c>
      <c r="H17" s="73">
        <f>'[1]All age Groups'!M17</f>
        <v>5642</v>
      </c>
      <c r="I17" s="74">
        <f>'[1]All age Groups'!N17</f>
        <v>5642</v>
      </c>
      <c r="J17" s="73">
        <f>'[1]All age Groups'!O17</f>
        <v>4060</v>
      </c>
      <c r="K17" s="74">
        <f>'[1]All age Groups'!P17</f>
        <v>4025</v>
      </c>
      <c r="L17" s="73">
        <f>'[1]All age Groups'!Q17</f>
        <v>2649</v>
      </c>
      <c r="M17" s="74">
        <f>'[1]All age Groups'!R17</f>
        <v>2580</v>
      </c>
      <c r="N17" s="73">
        <f>'[1]All age Groups'!S17</f>
        <v>1823</v>
      </c>
      <c r="O17" s="74">
        <f>'[1]All age Groups'!T17</f>
        <v>2408</v>
      </c>
      <c r="P17" s="73">
        <f>'[1]All age Groups'!U17</f>
        <v>1411</v>
      </c>
      <c r="Q17" s="74">
        <f>'[1]All age Groups'!V17</f>
        <v>1686</v>
      </c>
      <c r="R17" s="73">
        <f>'[1]All age Groups'!W17</f>
        <v>1273</v>
      </c>
      <c r="S17" s="74">
        <f>'[1]All age Groups'!X17</f>
        <v>1376</v>
      </c>
      <c r="T17" s="73">
        <f>'[1]All age Groups'!Y17</f>
        <v>1032</v>
      </c>
      <c r="U17" s="74">
        <f>'[1]All age Groups'!Z17</f>
        <v>791</v>
      </c>
      <c r="V17" s="73">
        <f>'[1]All age Groups'!AA17</f>
        <v>550</v>
      </c>
      <c r="W17" s="74">
        <f>'[1]All age Groups'!AB17</f>
        <v>516</v>
      </c>
      <c r="X17" s="73">
        <f>'[1]All age Groups'!AC17</f>
        <v>757</v>
      </c>
      <c r="Y17" s="74">
        <f>'[1]All age Groups'!AD17</f>
        <v>1445</v>
      </c>
      <c r="Z17" s="73">
        <f>'[1]All age Groups'!AE17</f>
        <v>482</v>
      </c>
      <c r="AA17" s="74">
        <f>'[1]All age Groups'!AF17</f>
        <v>447</v>
      </c>
      <c r="AB17" s="73">
        <f>'[1]All age Groups'!AG17</f>
        <v>757</v>
      </c>
      <c r="AC17" s="74">
        <f>'[1]All age Groups'!AH17</f>
        <v>585</v>
      </c>
      <c r="AD17" s="73">
        <f>'[1]All age Groups'!AI17</f>
        <v>241</v>
      </c>
      <c r="AE17" s="74">
        <f>'[1]All age Groups'!AJ17</f>
        <v>206</v>
      </c>
      <c r="AF17" s="73">
        <f>'[1]All age Groups'!AK17</f>
        <v>344</v>
      </c>
      <c r="AG17" s="74">
        <f>'[1]All age Groups'!AL17</f>
        <v>413</v>
      </c>
      <c r="AH17" s="73">
        <f>'[1]All age Groups'!AM17</f>
        <v>103</v>
      </c>
      <c r="AI17" s="74">
        <f>'[1]All age Groups'!AN17</f>
        <v>103</v>
      </c>
      <c r="AJ17" s="73">
        <f>'[1]All age Groups'!AO17</f>
        <v>172</v>
      </c>
      <c r="AK17" s="74">
        <f>'[1]All age Groups'!AP17</f>
        <v>310</v>
      </c>
      <c r="AL17" s="75">
        <f t="shared" si="0"/>
        <v>34094</v>
      </c>
      <c r="AM17" s="75">
        <f t="shared" si="0"/>
        <v>34505</v>
      </c>
      <c r="AN17" s="76">
        <f t="shared" si="1"/>
        <v>68599</v>
      </c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</row>
    <row r="18" spans="1:57" x14ac:dyDescent="0.5">
      <c r="A18" s="71" t="str">
        <f>'[1]All age Groups'!C18</f>
        <v xml:space="preserve">Banadir  </v>
      </c>
      <c r="B18" s="72" t="str">
        <f>'[1]All age Groups'!D18</f>
        <v>Banadir</v>
      </c>
      <c r="C18" s="72" t="str">
        <f>'[1]All age Groups'!E18</f>
        <v>Wadajir (Medina)</v>
      </c>
      <c r="D18" s="73">
        <f>'[1]All age Groups'!I18</f>
        <v>52962</v>
      </c>
      <c r="E18" s="74">
        <f>'[1]All age Groups'!J18</f>
        <v>49018</v>
      </c>
      <c r="F18" s="73">
        <f>'[1]All age Groups'!K18</f>
        <v>51836</v>
      </c>
      <c r="G18" s="74">
        <f>'[1]All age Groups'!L18</f>
        <v>49018</v>
      </c>
      <c r="H18" s="73">
        <f>'[1]All age Groups'!M18</f>
        <v>46201</v>
      </c>
      <c r="I18" s="74">
        <f>'[1]All age Groups'!N18</f>
        <v>46201</v>
      </c>
      <c r="J18" s="73">
        <f>'[1]All age Groups'!O18</f>
        <v>33242</v>
      </c>
      <c r="K18" s="74">
        <f>'[1]All age Groups'!P18</f>
        <v>32961</v>
      </c>
      <c r="L18" s="73">
        <f>'[1]All age Groups'!Q18</f>
        <v>21692</v>
      </c>
      <c r="M18" s="74">
        <f>'[1]All age Groups'!R18</f>
        <v>21129</v>
      </c>
      <c r="N18" s="73">
        <f>'[1]All age Groups'!S18</f>
        <v>14931</v>
      </c>
      <c r="O18" s="74">
        <f>'[1]All age Groups'!T18</f>
        <v>19720</v>
      </c>
      <c r="P18" s="73">
        <f>'[1]All age Groups'!U18</f>
        <v>11550</v>
      </c>
      <c r="Q18" s="74">
        <f>'[1]All age Groups'!V18</f>
        <v>13804</v>
      </c>
      <c r="R18" s="73">
        <f>'[1]All age Groups'!W18</f>
        <v>10423</v>
      </c>
      <c r="S18" s="74">
        <f>'[1]All age Groups'!X18</f>
        <v>11269</v>
      </c>
      <c r="T18" s="73">
        <f>'[1]All age Groups'!Y18</f>
        <v>8451</v>
      </c>
      <c r="U18" s="74">
        <f>'[1]All age Groups'!Z18</f>
        <v>6479</v>
      </c>
      <c r="V18" s="73">
        <f>'[1]All age Groups'!AA18</f>
        <v>4507</v>
      </c>
      <c r="W18" s="74">
        <f>'[1]All age Groups'!AB18</f>
        <v>4226</v>
      </c>
      <c r="X18" s="73">
        <f>'[1]All age Groups'!AC18</f>
        <v>6198</v>
      </c>
      <c r="Y18" s="74">
        <f>'[1]All age Groups'!AD18</f>
        <v>11832</v>
      </c>
      <c r="Z18" s="73">
        <f>'[1]All age Groups'!AE18</f>
        <v>3944</v>
      </c>
      <c r="AA18" s="74">
        <f>'[1]All age Groups'!AF18</f>
        <v>3662</v>
      </c>
      <c r="AB18" s="73">
        <f>'[1]All age Groups'!AG18</f>
        <v>6198</v>
      </c>
      <c r="AC18" s="74">
        <f>'[1]All age Groups'!AH18</f>
        <v>4789</v>
      </c>
      <c r="AD18" s="73">
        <f>'[1]All age Groups'!AI18</f>
        <v>1972</v>
      </c>
      <c r="AE18" s="74">
        <f>'[1]All age Groups'!AJ18</f>
        <v>1690</v>
      </c>
      <c r="AF18" s="73">
        <f>'[1]All age Groups'!AK18</f>
        <v>2817</v>
      </c>
      <c r="AG18" s="74">
        <f>'[1]All age Groups'!AL18</f>
        <v>3381</v>
      </c>
      <c r="AH18" s="73">
        <f>'[1]All age Groups'!AM18</f>
        <v>845</v>
      </c>
      <c r="AI18" s="74">
        <f>'[1]All age Groups'!AN18</f>
        <v>845</v>
      </c>
      <c r="AJ18" s="73">
        <f>'[1]All age Groups'!AO18</f>
        <v>1409</v>
      </c>
      <c r="AK18" s="74">
        <f>'[1]All age Groups'!AP18</f>
        <v>2535</v>
      </c>
      <c r="AL18" s="75">
        <f t="shared" si="0"/>
        <v>279178</v>
      </c>
      <c r="AM18" s="75">
        <f t="shared" si="0"/>
        <v>282559</v>
      </c>
      <c r="AN18" s="76">
        <f t="shared" si="1"/>
        <v>561737</v>
      </c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</row>
    <row r="19" spans="1:57" x14ac:dyDescent="0.5">
      <c r="A19" s="71" t="str">
        <f>'[1]All age Groups'!C19</f>
        <v xml:space="preserve">Banadir  </v>
      </c>
      <c r="B19" s="72" t="str">
        <f>'[1]All age Groups'!D19</f>
        <v>Banadir</v>
      </c>
      <c r="C19" s="72" t="str">
        <f>'[1]All age Groups'!E19</f>
        <v>Wardhigley</v>
      </c>
      <c r="D19" s="73">
        <f>'[1]All age Groups'!I19</f>
        <v>10898</v>
      </c>
      <c r="E19" s="74">
        <f>'[1]All age Groups'!J19</f>
        <v>10086</v>
      </c>
      <c r="F19" s="73">
        <f>'[1]All age Groups'!K19</f>
        <v>10666</v>
      </c>
      <c r="G19" s="74">
        <f>'[1]All age Groups'!L19</f>
        <v>10086</v>
      </c>
      <c r="H19" s="73">
        <f>'[1]All age Groups'!M19</f>
        <v>9507</v>
      </c>
      <c r="I19" s="74">
        <f>'[1]All age Groups'!N19</f>
        <v>9507</v>
      </c>
      <c r="J19" s="73">
        <f>'[1]All age Groups'!O19</f>
        <v>6840</v>
      </c>
      <c r="K19" s="74">
        <f>'[1]All age Groups'!P19</f>
        <v>6782</v>
      </c>
      <c r="L19" s="73">
        <f>'[1]All age Groups'!Q19</f>
        <v>4463</v>
      </c>
      <c r="M19" s="74">
        <f>'[1]All age Groups'!R19</f>
        <v>4348</v>
      </c>
      <c r="N19" s="73">
        <f>'[1]All age Groups'!S19</f>
        <v>3072</v>
      </c>
      <c r="O19" s="74">
        <f>'[1]All age Groups'!T19</f>
        <v>4058</v>
      </c>
      <c r="P19" s="73">
        <f>'[1]All age Groups'!U19</f>
        <v>2377</v>
      </c>
      <c r="Q19" s="74">
        <f>'[1]All age Groups'!V19</f>
        <v>2840</v>
      </c>
      <c r="R19" s="73">
        <f>'[1]All age Groups'!W19</f>
        <v>2145</v>
      </c>
      <c r="S19" s="74">
        <f>'[1]All age Groups'!X19</f>
        <v>2319</v>
      </c>
      <c r="T19" s="73">
        <f>'[1]All age Groups'!Y19</f>
        <v>1739</v>
      </c>
      <c r="U19" s="74">
        <f>'[1]All age Groups'!Z19</f>
        <v>1333</v>
      </c>
      <c r="V19" s="73">
        <f>'[1]All age Groups'!AA19</f>
        <v>927</v>
      </c>
      <c r="W19" s="74">
        <f>'[1]All age Groups'!AB19</f>
        <v>870</v>
      </c>
      <c r="X19" s="73">
        <f>'[1]All age Groups'!AC19</f>
        <v>1275</v>
      </c>
      <c r="Y19" s="74">
        <f>'[1]All age Groups'!AD19</f>
        <v>2435</v>
      </c>
      <c r="Z19" s="73">
        <f>'[1]All age Groups'!AE19</f>
        <v>812</v>
      </c>
      <c r="AA19" s="74">
        <f>'[1]All age Groups'!AF19</f>
        <v>754</v>
      </c>
      <c r="AB19" s="73">
        <f>'[1]All age Groups'!AG19</f>
        <v>1275</v>
      </c>
      <c r="AC19" s="74">
        <f>'[1]All age Groups'!AH19</f>
        <v>985</v>
      </c>
      <c r="AD19" s="73">
        <f>'[1]All age Groups'!AI19</f>
        <v>406</v>
      </c>
      <c r="AE19" s="74">
        <f>'[1]All age Groups'!AJ19</f>
        <v>348</v>
      </c>
      <c r="AF19" s="73">
        <f>'[1]All age Groups'!AK19</f>
        <v>580</v>
      </c>
      <c r="AG19" s="74">
        <f>'[1]All age Groups'!AL19</f>
        <v>696</v>
      </c>
      <c r="AH19" s="73">
        <f>'[1]All age Groups'!AM19</f>
        <v>174</v>
      </c>
      <c r="AI19" s="74">
        <f>'[1]All age Groups'!AN19</f>
        <v>174</v>
      </c>
      <c r="AJ19" s="73">
        <f>'[1]All age Groups'!AO19</f>
        <v>290</v>
      </c>
      <c r="AK19" s="74">
        <f>'[1]All age Groups'!AP19</f>
        <v>522</v>
      </c>
      <c r="AL19" s="75">
        <f t="shared" si="0"/>
        <v>57446</v>
      </c>
      <c r="AM19" s="75">
        <f t="shared" si="0"/>
        <v>58143</v>
      </c>
      <c r="AN19" s="76">
        <f t="shared" si="1"/>
        <v>115589</v>
      </c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</row>
    <row r="20" spans="1:57" x14ac:dyDescent="0.5">
      <c r="A20" s="71" t="str">
        <f>'[1]All age Groups'!C20</f>
        <v xml:space="preserve">Banadir  </v>
      </c>
      <c r="B20" s="72" t="str">
        <f>'[1]All age Groups'!D20</f>
        <v>Banadir</v>
      </c>
      <c r="C20" s="72" t="str">
        <f>'[1]All age Groups'!E20</f>
        <v>Yaaqshid</v>
      </c>
      <c r="D20" s="73">
        <f>'[1]All age Groups'!I20</f>
        <v>8143</v>
      </c>
      <c r="E20" s="74">
        <f>'[1]All age Groups'!J20</f>
        <v>7537</v>
      </c>
      <c r="F20" s="73">
        <f>'[1]All age Groups'!K20</f>
        <v>7970</v>
      </c>
      <c r="G20" s="74">
        <f>'[1]All age Groups'!L20</f>
        <v>7537</v>
      </c>
      <c r="H20" s="73">
        <f>'[1]All age Groups'!M20</f>
        <v>7104</v>
      </c>
      <c r="I20" s="74">
        <f>'[1]All age Groups'!N20</f>
        <v>7104</v>
      </c>
      <c r="J20" s="73">
        <f>'[1]All age Groups'!O20</f>
        <v>5111</v>
      </c>
      <c r="K20" s="74">
        <f>'[1]All age Groups'!P20</f>
        <v>5068</v>
      </c>
      <c r="L20" s="73">
        <f>'[1]All age Groups'!Q20</f>
        <v>3335</v>
      </c>
      <c r="M20" s="74">
        <f>'[1]All age Groups'!R20</f>
        <v>3249</v>
      </c>
      <c r="N20" s="73">
        <f>'[1]All age Groups'!S20</f>
        <v>2296</v>
      </c>
      <c r="O20" s="74">
        <f>'[1]All age Groups'!T20</f>
        <v>3032</v>
      </c>
      <c r="P20" s="73">
        <f>'[1]All age Groups'!U20</f>
        <v>1776</v>
      </c>
      <c r="Q20" s="74">
        <f>'[1]All age Groups'!V20</f>
        <v>2122</v>
      </c>
      <c r="R20" s="73">
        <f>'[1]All age Groups'!W20</f>
        <v>1603</v>
      </c>
      <c r="S20" s="74">
        <f>'[1]All age Groups'!X20</f>
        <v>1733</v>
      </c>
      <c r="T20" s="73">
        <f>'[1]All age Groups'!Y20</f>
        <v>1299</v>
      </c>
      <c r="U20" s="74">
        <f>'[1]All age Groups'!Z20</f>
        <v>996</v>
      </c>
      <c r="V20" s="73">
        <f>'[1]All age Groups'!AA20</f>
        <v>693</v>
      </c>
      <c r="W20" s="74">
        <f>'[1]All age Groups'!AB20</f>
        <v>650</v>
      </c>
      <c r="X20" s="73">
        <f>'[1]All age Groups'!AC20</f>
        <v>953</v>
      </c>
      <c r="Y20" s="74">
        <f>'[1]All age Groups'!AD20</f>
        <v>1819</v>
      </c>
      <c r="Z20" s="73">
        <f>'[1]All age Groups'!AE20</f>
        <v>606</v>
      </c>
      <c r="AA20" s="74">
        <f>'[1]All age Groups'!AF20</f>
        <v>563</v>
      </c>
      <c r="AB20" s="73">
        <f>'[1]All age Groups'!AG20</f>
        <v>953</v>
      </c>
      <c r="AC20" s="74">
        <f>'[1]All age Groups'!AH20</f>
        <v>736</v>
      </c>
      <c r="AD20" s="73">
        <f>'[1]All age Groups'!AI20</f>
        <v>303</v>
      </c>
      <c r="AE20" s="74">
        <f>'[1]All age Groups'!AJ20</f>
        <v>260</v>
      </c>
      <c r="AF20" s="73">
        <f>'[1]All age Groups'!AK20</f>
        <v>433</v>
      </c>
      <c r="AG20" s="74">
        <f>'[1]All age Groups'!AL20</f>
        <v>520</v>
      </c>
      <c r="AH20" s="73">
        <f>'[1]All age Groups'!AM20</f>
        <v>130</v>
      </c>
      <c r="AI20" s="74">
        <f>'[1]All age Groups'!AN20</f>
        <v>130</v>
      </c>
      <c r="AJ20" s="73">
        <f>'[1]All age Groups'!AO20</f>
        <v>217</v>
      </c>
      <c r="AK20" s="74">
        <f>'[1]All age Groups'!AP20</f>
        <v>390</v>
      </c>
      <c r="AL20" s="75">
        <f t="shared" si="0"/>
        <v>42925</v>
      </c>
      <c r="AM20" s="75">
        <f t="shared" si="0"/>
        <v>43446</v>
      </c>
      <c r="AN20" s="76">
        <f t="shared" si="1"/>
        <v>86371</v>
      </c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</row>
    <row r="21" spans="1:57" x14ac:dyDescent="0.5">
      <c r="A21" s="71" t="str">
        <f>'[1]All age Groups'!C21</f>
        <v xml:space="preserve">Galmudug  </v>
      </c>
      <c r="B21" s="72" t="str">
        <f>'[1]All age Groups'!D21</f>
        <v>Galgaduud</v>
      </c>
      <c r="C21" s="72" t="str">
        <f>'[1]All age Groups'!E21</f>
        <v>Cabudwaaq</v>
      </c>
      <c r="D21" s="73">
        <f>'[1]All age Groups'!I21</f>
        <v>26124</v>
      </c>
      <c r="E21" s="74">
        <f>'[1]All age Groups'!J21</f>
        <v>21514</v>
      </c>
      <c r="F21" s="73">
        <f>'[1]All age Groups'!K21</f>
        <v>24698</v>
      </c>
      <c r="G21" s="74">
        <f>'[1]All age Groups'!L21</f>
        <v>19758</v>
      </c>
      <c r="H21" s="73">
        <f>'[1]All age Groups'!M21</f>
        <v>17892</v>
      </c>
      <c r="I21" s="74">
        <f>'[1]All age Groups'!N21</f>
        <v>15148</v>
      </c>
      <c r="J21" s="73">
        <f>'[1]All age Groups'!O21</f>
        <v>9989</v>
      </c>
      <c r="K21" s="74">
        <f>'[1]All age Groups'!P21</f>
        <v>13831</v>
      </c>
      <c r="L21" s="73">
        <f>'[1]All age Groups'!Q21</f>
        <v>4940</v>
      </c>
      <c r="M21" s="74">
        <f>'[1]All age Groups'!R21</f>
        <v>6915</v>
      </c>
      <c r="N21" s="73">
        <f>'[1]All age Groups'!S21</f>
        <v>3622</v>
      </c>
      <c r="O21" s="74">
        <f>'[1]All age Groups'!T21</f>
        <v>7464</v>
      </c>
      <c r="P21" s="73">
        <f>'[1]All age Groups'!U21</f>
        <v>4391</v>
      </c>
      <c r="Q21" s="74">
        <f>'[1]All age Groups'!V21</f>
        <v>5488</v>
      </c>
      <c r="R21" s="73">
        <f>'[1]All age Groups'!W21</f>
        <v>3183</v>
      </c>
      <c r="S21" s="74">
        <f>'[1]All age Groups'!X21</f>
        <v>5049</v>
      </c>
      <c r="T21" s="73">
        <f>'[1]All age Groups'!Y21</f>
        <v>3622</v>
      </c>
      <c r="U21" s="74">
        <f>'[1]All age Groups'!Z21</f>
        <v>2305</v>
      </c>
      <c r="V21" s="73">
        <f>'[1]All age Groups'!AA21</f>
        <v>1866</v>
      </c>
      <c r="W21" s="74">
        <f>'[1]All age Groups'!AB21</f>
        <v>1207</v>
      </c>
      <c r="X21" s="73">
        <f>'[1]All age Groups'!AC21</f>
        <v>2415</v>
      </c>
      <c r="Y21" s="74">
        <f>'[1]All age Groups'!AD21</f>
        <v>3293</v>
      </c>
      <c r="Z21" s="73">
        <f>'[1]All age Groups'!AE21</f>
        <v>768</v>
      </c>
      <c r="AA21" s="74">
        <f>'[1]All age Groups'!AF21</f>
        <v>1317</v>
      </c>
      <c r="AB21" s="73">
        <f>'[1]All age Groups'!AG21</f>
        <v>1756</v>
      </c>
      <c r="AC21" s="74">
        <f>'[1]All age Groups'!AH21</f>
        <v>2086</v>
      </c>
      <c r="AD21" s="73">
        <f>'[1]All age Groups'!AI21</f>
        <v>439</v>
      </c>
      <c r="AE21" s="74">
        <f>'[1]All age Groups'!AJ21</f>
        <v>988</v>
      </c>
      <c r="AF21" s="73">
        <f>'[1]All age Groups'!AK21</f>
        <v>1317</v>
      </c>
      <c r="AG21" s="74">
        <f>'[1]All age Groups'!AL21</f>
        <v>1317</v>
      </c>
      <c r="AH21" s="73">
        <f>'[1]All age Groups'!AM21</f>
        <v>329</v>
      </c>
      <c r="AI21" s="74">
        <f>'[1]All age Groups'!AN21</f>
        <v>549</v>
      </c>
      <c r="AJ21" s="73">
        <f>'[1]All age Groups'!AO21</f>
        <v>1317</v>
      </c>
      <c r="AK21" s="74">
        <f>'[1]All age Groups'!AP21</f>
        <v>1756</v>
      </c>
      <c r="AL21" s="75">
        <f t="shared" si="0"/>
        <v>108668</v>
      </c>
      <c r="AM21" s="75">
        <f t="shared" si="0"/>
        <v>109985</v>
      </c>
      <c r="AN21" s="76">
        <f t="shared" si="1"/>
        <v>218653</v>
      </c>
    </row>
    <row r="22" spans="1:57" x14ac:dyDescent="0.5">
      <c r="A22" s="71" t="str">
        <f>'[1]All age Groups'!C22</f>
        <v xml:space="preserve">Galmudug  </v>
      </c>
      <c r="B22" s="72" t="str">
        <f>'[1]All age Groups'!D22</f>
        <v>Galgaduud</v>
      </c>
      <c r="C22" s="72" t="str">
        <f>'[1]All age Groups'!E22</f>
        <v>Cadaado</v>
      </c>
      <c r="D22" s="73">
        <f>'[1]All age Groups'!I22</f>
        <v>16763</v>
      </c>
      <c r="E22" s="74">
        <f>'[1]All age Groups'!J22</f>
        <v>13805</v>
      </c>
      <c r="F22" s="73">
        <f>'[1]All age Groups'!K22</f>
        <v>15848</v>
      </c>
      <c r="G22" s="74">
        <f>'[1]All age Groups'!L22</f>
        <v>12678</v>
      </c>
      <c r="H22" s="73">
        <f>'[1]All age Groups'!M22</f>
        <v>11481</v>
      </c>
      <c r="I22" s="74">
        <f>'[1]All age Groups'!N22</f>
        <v>9720</v>
      </c>
      <c r="J22" s="73">
        <f>'[1]All age Groups'!O22</f>
        <v>6410</v>
      </c>
      <c r="K22" s="74">
        <f>'[1]All age Groups'!P22</f>
        <v>8875</v>
      </c>
      <c r="L22" s="73">
        <f>'[1]All age Groups'!Q22</f>
        <v>3170</v>
      </c>
      <c r="M22" s="74">
        <f>'[1]All age Groups'!R22</f>
        <v>4437</v>
      </c>
      <c r="N22" s="73">
        <f>'[1]All age Groups'!S22</f>
        <v>2324</v>
      </c>
      <c r="O22" s="74">
        <f>'[1]All age Groups'!T22</f>
        <v>4790</v>
      </c>
      <c r="P22" s="73">
        <f>'[1]All age Groups'!U22</f>
        <v>2817</v>
      </c>
      <c r="Q22" s="74">
        <f>'[1]All age Groups'!V22</f>
        <v>3522</v>
      </c>
      <c r="R22" s="73">
        <f>'[1]All age Groups'!W22</f>
        <v>2043</v>
      </c>
      <c r="S22" s="74">
        <f>'[1]All age Groups'!X22</f>
        <v>3240</v>
      </c>
      <c r="T22" s="73">
        <f>'[1]All age Groups'!Y22</f>
        <v>2324</v>
      </c>
      <c r="U22" s="74">
        <f>'[1]All age Groups'!Z22</f>
        <v>1479</v>
      </c>
      <c r="V22" s="73">
        <f>'[1]All age Groups'!AA22</f>
        <v>1197</v>
      </c>
      <c r="W22" s="74">
        <f>'[1]All age Groups'!AB22</f>
        <v>775</v>
      </c>
      <c r="X22" s="73">
        <f>'[1]All age Groups'!AC22</f>
        <v>1550</v>
      </c>
      <c r="Y22" s="74">
        <f>'[1]All age Groups'!AD22</f>
        <v>2113</v>
      </c>
      <c r="Z22" s="73">
        <f>'[1]All age Groups'!AE22</f>
        <v>493</v>
      </c>
      <c r="AA22" s="74">
        <f>'[1]All age Groups'!AF22</f>
        <v>845</v>
      </c>
      <c r="AB22" s="73">
        <f>'[1]All age Groups'!AG22</f>
        <v>1127</v>
      </c>
      <c r="AC22" s="74">
        <f>'[1]All age Groups'!AH22</f>
        <v>1338</v>
      </c>
      <c r="AD22" s="73">
        <f>'[1]All age Groups'!AI22</f>
        <v>282</v>
      </c>
      <c r="AE22" s="74">
        <f>'[1]All age Groups'!AJ22</f>
        <v>634</v>
      </c>
      <c r="AF22" s="73">
        <f>'[1]All age Groups'!AK22</f>
        <v>845</v>
      </c>
      <c r="AG22" s="74">
        <f>'[1]All age Groups'!AL22</f>
        <v>845</v>
      </c>
      <c r="AH22" s="73">
        <f>'[1]All age Groups'!AM22</f>
        <v>211</v>
      </c>
      <c r="AI22" s="74">
        <f>'[1]All age Groups'!AN22</f>
        <v>352</v>
      </c>
      <c r="AJ22" s="73">
        <f>'[1]All age Groups'!AO22</f>
        <v>845</v>
      </c>
      <c r="AK22" s="74">
        <f>'[1]All age Groups'!AP22</f>
        <v>1127</v>
      </c>
      <c r="AL22" s="75">
        <f t="shared" si="0"/>
        <v>69730</v>
      </c>
      <c r="AM22" s="75">
        <f t="shared" si="0"/>
        <v>70575</v>
      </c>
      <c r="AN22" s="76">
        <f t="shared" si="1"/>
        <v>140305</v>
      </c>
    </row>
    <row r="23" spans="1:57" x14ac:dyDescent="0.5">
      <c r="A23" s="71" t="str">
        <f>'[1]All age Groups'!C23</f>
        <v xml:space="preserve">Galmudug  </v>
      </c>
      <c r="B23" s="72" t="str">
        <f>'[1]All age Groups'!D23</f>
        <v>Galgaduud</v>
      </c>
      <c r="C23" s="72" t="str">
        <f>'[1]All age Groups'!E23</f>
        <v>Ceel Buur</v>
      </c>
      <c r="D23" s="73">
        <f>'[1]All age Groups'!I23</f>
        <v>13385</v>
      </c>
      <c r="E23" s="74">
        <f>'[1]All age Groups'!J23</f>
        <v>11023</v>
      </c>
      <c r="F23" s="73">
        <f>'[1]All age Groups'!K23</f>
        <v>12654</v>
      </c>
      <c r="G23" s="74">
        <f>'[1]All age Groups'!L23</f>
        <v>10123</v>
      </c>
      <c r="H23" s="73">
        <f>'[1]All age Groups'!M23</f>
        <v>9167</v>
      </c>
      <c r="I23" s="74">
        <f>'[1]All age Groups'!N23</f>
        <v>7761</v>
      </c>
      <c r="J23" s="73">
        <f>'[1]All age Groups'!O23</f>
        <v>5118</v>
      </c>
      <c r="K23" s="74">
        <f>'[1]All age Groups'!P23</f>
        <v>7086</v>
      </c>
      <c r="L23" s="73">
        <f>'[1]All age Groups'!Q23</f>
        <v>2531</v>
      </c>
      <c r="M23" s="74">
        <f>'[1]All age Groups'!R23</f>
        <v>3543</v>
      </c>
      <c r="N23" s="73">
        <f>'[1]All age Groups'!S23</f>
        <v>1856</v>
      </c>
      <c r="O23" s="74">
        <f>'[1]All age Groups'!T23</f>
        <v>3824</v>
      </c>
      <c r="P23" s="73">
        <f>'[1]All age Groups'!U23</f>
        <v>2250</v>
      </c>
      <c r="Q23" s="74">
        <f>'[1]All age Groups'!V23</f>
        <v>2812</v>
      </c>
      <c r="R23" s="73">
        <f>'[1]All age Groups'!W23</f>
        <v>1631</v>
      </c>
      <c r="S23" s="74">
        <f>'[1]All age Groups'!X23</f>
        <v>2587</v>
      </c>
      <c r="T23" s="73">
        <f>'[1]All age Groups'!Y23</f>
        <v>1856</v>
      </c>
      <c r="U23" s="74">
        <f>'[1]All age Groups'!Z23</f>
        <v>1181</v>
      </c>
      <c r="V23" s="73">
        <f>'[1]All age Groups'!AA23</f>
        <v>956</v>
      </c>
      <c r="W23" s="74">
        <f>'[1]All age Groups'!AB23</f>
        <v>619</v>
      </c>
      <c r="X23" s="73">
        <f>'[1]All age Groups'!AC23</f>
        <v>1237</v>
      </c>
      <c r="Y23" s="74">
        <f>'[1]All age Groups'!AD23</f>
        <v>1687</v>
      </c>
      <c r="Z23" s="73">
        <f>'[1]All age Groups'!AE23</f>
        <v>394</v>
      </c>
      <c r="AA23" s="74">
        <f>'[1]All age Groups'!AF23</f>
        <v>675</v>
      </c>
      <c r="AB23" s="73">
        <f>'[1]All age Groups'!AG23</f>
        <v>900</v>
      </c>
      <c r="AC23" s="74">
        <f>'[1]All age Groups'!AH23</f>
        <v>1069</v>
      </c>
      <c r="AD23" s="73">
        <f>'[1]All age Groups'!AI23</f>
        <v>225</v>
      </c>
      <c r="AE23" s="74">
        <f>'[1]All age Groups'!AJ23</f>
        <v>506</v>
      </c>
      <c r="AF23" s="73">
        <f>'[1]All age Groups'!AK23</f>
        <v>675</v>
      </c>
      <c r="AG23" s="74">
        <f>'[1]All age Groups'!AL23</f>
        <v>675</v>
      </c>
      <c r="AH23" s="73">
        <f>'[1]All age Groups'!AM23</f>
        <v>169</v>
      </c>
      <c r="AI23" s="74">
        <f>'[1]All age Groups'!AN23</f>
        <v>281</v>
      </c>
      <c r="AJ23" s="73">
        <f>'[1]All age Groups'!AO23</f>
        <v>675</v>
      </c>
      <c r="AK23" s="74">
        <f>'[1]All age Groups'!AP23</f>
        <v>900</v>
      </c>
      <c r="AL23" s="75">
        <f t="shared" si="0"/>
        <v>55679</v>
      </c>
      <c r="AM23" s="75">
        <f t="shared" si="0"/>
        <v>56352</v>
      </c>
      <c r="AN23" s="76">
        <f t="shared" si="1"/>
        <v>112031</v>
      </c>
    </row>
    <row r="24" spans="1:57" x14ac:dyDescent="0.5">
      <c r="A24" s="71" t="str">
        <f>'[1]All age Groups'!C24</f>
        <v xml:space="preserve">Galmudug  </v>
      </c>
      <c r="B24" s="72" t="str">
        <f>'[1]All age Groups'!D24</f>
        <v>Galgaduud</v>
      </c>
      <c r="C24" s="72" t="str">
        <f>'[1]All age Groups'!E24</f>
        <v>Ceel Dheer</v>
      </c>
      <c r="D24" s="73">
        <f>'[1]All age Groups'!I24</f>
        <v>12964</v>
      </c>
      <c r="E24" s="74">
        <f>'[1]All age Groups'!J24</f>
        <v>10677</v>
      </c>
      <c r="F24" s="73">
        <f>'[1]All age Groups'!K24</f>
        <v>12256</v>
      </c>
      <c r="G24" s="74">
        <f>'[1]All age Groups'!L24</f>
        <v>9805</v>
      </c>
      <c r="H24" s="73">
        <f>'[1]All age Groups'!M24</f>
        <v>8879</v>
      </c>
      <c r="I24" s="74">
        <f>'[1]All age Groups'!N24</f>
        <v>7517</v>
      </c>
      <c r="J24" s="73">
        <f>'[1]All age Groups'!O24</f>
        <v>4957</v>
      </c>
      <c r="K24" s="74">
        <f>'[1]All age Groups'!P24</f>
        <v>6864</v>
      </c>
      <c r="L24" s="73">
        <f>'[1]All age Groups'!Q24</f>
        <v>2451</v>
      </c>
      <c r="M24" s="74">
        <f>'[1]All age Groups'!R24</f>
        <v>3432</v>
      </c>
      <c r="N24" s="73">
        <f>'[1]All age Groups'!S24</f>
        <v>1798</v>
      </c>
      <c r="O24" s="74">
        <f>'[1]All age Groups'!T24</f>
        <v>3704</v>
      </c>
      <c r="P24" s="73">
        <f>'[1]All age Groups'!U24</f>
        <v>2179</v>
      </c>
      <c r="Q24" s="74">
        <f>'[1]All age Groups'!V24</f>
        <v>2724</v>
      </c>
      <c r="R24" s="73">
        <f>'[1]All age Groups'!W24</f>
        <v>1580</v>
      </c>
      <c r="S24" s="74">
        <f>'[1]All age Groups'!X24</f>
        <v>2506</v>
      </c>
      <c r="T24" s="73">
        <f>'[1]All age Groups'!Y24</f>
        <v>1798</v>
      </c>
      <c r="U24" s="74">
        <f>'[1]All age Groups'!Z24</f>
        <v>1144</v>
      </c>
      <c r="V24" s="73">
        <f>'[1]All age Groups'!AA24</f>
        <v>926</v>
      </c>
      <c r="W24" s="74">
        <f>'[1]All age Groups'!AB24</f>
        <v>599</v>
      </c>
      <c r="X24" s="73">
        <f>'[1]All age Groups'!AC24</f>
        <v>1198</v>
      </c>
      <c r="Y24" s="74">
        <f>'[1]All age Groups'!AD24</f>
        <v>1634</v>
      </c>
      <c r="Z24" s="73">
        <f>'[1]All age Groups'!AE24</f>
        <v>381</v>
      </c>
      <c r="AA24" s="74">
        <f>'[1]All age Groups'!AF24</f>
        <v>654</v>
      </c>
      <c r="AB24" s="73">
        <f>'[1]All age Groups'!AG24</f>
        <v>872</v>
      </c>
      <c r="AC24" s="74">
        <f>'[1]All age Groups'!AH24</f>
        <v>1035</v>
      </c>
      <c r="AD24" s="73">
        <f>'[1]All age Groups'!AI24</f>
        <v>218</v>
      </c>
      <c r="AE24" s="74">
        <f>'[1]All age Groups'!AJ24</f>
        <v>490</v>
      </c>
      <c r="AF24" s="73">
        <f>'[1]All age Groups'!AK24</f>
        <v>654</v>
      </c>
      <c r="AG24" s="74">
        <f>'[1]All age Groups'!AL24</f>
        <v>654</v>
      </c>
      <c r="AH24" s="73">
        <f>'[1]All age Groups'!AM24</f>
        <v>163</v>
      </c>
      <c r="AI24" s="74">
        <f>'[1]All age Groups'!AN24</f>
        <v>272</v>
      </c>
      <c r="AJ24" s="73">
        <f>'[1]All age Groups'!AO24</f>
        <v>654</v>
      </c>
      <c r="AK24" s="74">
        <f>'[1]All age Groups'!AP24</f>
        <v>872</v>
      </c>
      <c r="AL24" s="75">
        <f t="shared" si="0"/>
        <v>53928</v>
      </c>
      <c r="AM24" s="75">
        <f t="shared" si="0"/>
        <v>54583</v>
      </c>
      <c r="AN24" s="76">
        <f t="shared" si="1"/>
        <v>108511</v>
      </c>
    </row>
    <row r="25" spans="1:57" x14ac:dyDescent="0.5">
      <c r="A25" s="71" t="str">
        <f>'[1]All age Groups'!C25</f>
        <v xml:space="preserve">Galmudug  </v>
      </c>
      <c r="B25" s="72" t="str">
        <f>'[1]All age Groups'!D25</f>
        <v>Galgaduud</v>
      </c>
      <c r="C25" s="72" t="str">
        <f>'[1]All age Groups'!E25</f>
        <v>Dhuusamarreeb</v>
      </c>
      <c r="D25" s="73">
        <f>'[1]All age Groups'!I25</f>
        <v>30875</v>
      </c>
      <c r="E25" s="74">
        <f>'[1]All age Groups'!J25</f>
        <v>25426</v>
      </c>
      <c r="F25" s="73">
        <f>'[1]All age Groups'!K25</f>
        <v>29188</v>
      </c>
      <c r="G25" s="74">
        <f>'[1]All age Groups'!L25</f>
        <v>23351</v>
      </c>
      <c r="H25" s="73">
        <f>'[1]All age Groups'!M25</f>
        <v>21145</v>
      </c>
      <c r="I25" s="74">
        <f>'[1]All age Groups'!N25</f>
        <v>17902</v>
      </c>
      <c r="J25" s="73">
        <f>'[1]All age Groups'!O25</f>
        <v>11805</v>
      </c>
      <c r="K25" s="74">
        <f>'[1]All age Groups'!P25</f>
        <v>16346</v>
      </c>
      <c r="L25" s="73">
        <f>'[1]All age Groups'!Q25</f>
        <v>5838</v>
      </c>
      <c r="M25" s="74">
        <f>'[1]All age Groups'!R25</f>
        <v>8173</v>
      </c>
      <c r="N25" s="73">
        <f>'[1]All age Groups'!S25</f>
        <v>4281</v>
      </c>
      <c r="O25" s="74">
        <f>'[1]All age Groups'!T25</f>
        <v>8821</v>
      </c>
      <c r="P25" s="73">
        <f>'[1]All age Groups'!U25</f>
        <v>5189</v>
      </c>
      <c r="Q25" s="74">
        <f>'[1]All age Groups'!V25</f>
        <v>6486</v>
      </c>
      <c r="R25" s="73">
        <f>'[1]All age Groups'!W25</f>
        <v>3762</v>
      </c>
      <c r="S25" s="74">
        <f>'[1]All age Groups'!X25</f>
        <v>5967</v>
      </c>
      <c r="T25" s="73">
        <f>'[1]All age Groups'!Y25</f>
        <v>4281</v>
      </c>
      <c r="U25" s="74">
        <f>'[1]All age Groups'!Z25</f>
        <v>2724</v>
      </c>
      <c r="V25" s="73">
        <f>'[1]All age Groups'!AA25</f>
        <v>2205</v>
      </c>
      <c r="W25" s="74">
        <f>'[1]All age Groups'!AB25</f>
        <v>1427</v>
      </c>
      <c r="X25" s="73">
        <f>'[1]All age Groups'!AC25</f>
        <v>2854</v>
      </c>
      <c r="Y25" s="74">
        <f>'[1]All age Groups'!AD25</f>
        <v>3892</v>
      </c>
      <c r="Z25" s="73">
        <f>'[1]All age Groups'!AE25</f>
        <v>908</v>
      </c>
      <c r="AA25" s="74">
        <f>'[1]All age Groups'!AF25</f>
        <v>1557</v>
      </c>
      <c r="AB25" s="73">
        <f>'[1]All age Groups'!AG25</f>
        <v>2076</v>
      </c>
      <c r="AC25" s="74">
        <f>'[1]All age Groups'!AH25</f>
        <v>2465</v>
      </c>
      <c r="AD25" s="73">
        <f>'[1]All age Groups'!AI25</f>
        <v>519</v>
      </c>
      <c r="AE25" s="74">
        <f>'[1]All age Groups'!AJ25</f>
        <v>1168</v>
      </c>
      <c r="AF25" s="73">
        <f>'[1]All age Groups'!AK25</f>
        <v>1557</v>
      </c>
      <c r="AG25" s="74">
        <f>'[1]All age Groups'!AL25</f>
        <v>1557</v>
      </c>
      <c r="AH25" s="73">
        <f>'[1]All age Groups'!AM25</f>
        <v>389</v>
      </c>
      <c r="AI25" s="74">
        <f>'[1]All age Groups'!AN25</f>
        <v>649</v>
      </c>
      <c r="AJ25" s="73">
        <f>'[1]All age Groups'!AO25</f>
        <v>1557</v>
      </c>
      <c r="AK25" s="74">
        <f>'[1]All age Groups'!AP25</f>
        <v>2076</v>
      </c>
      <c r="AL25" s="75">
        <f t="shared" si="0"/>
        <v>128429</v>
      </c>
      <c r="AM25" s="75">
        <f t="shared" si="0"/>
        <v>129987</v>
      </c>
      <c r="AN25" s="76">
        <f t="shared" si="1"/>
        <v>258416</v>
      </c>
    </row>
    <row r="26" spans="1:57" x14ac:dyDescent="0.5">
      <c r="A26" s="71" t="str">
        <f>'[1]All age Groups'!C26</f>
        <v xml:space="preserve">Puntland  </v>
      </c>
      <c r="B26" s="72" t="str">
        <f>'[1]All age Groups'!D26</f>
        <v>Mudug</v>
      </c>
      <c r="C26" s="72" t="str">
        <f>'[1]All age Groups'!E26</f>
        <v>Gaalkacyo North</v>
      </c>
      <c r="D26" s="73">
        <f>'[1]All age Groups'!I26</f>
        <v>72680</v>
      </c>
      <c r="E26" s="74">
        <f>'[1]All age Groups'!J26</f>
        <v>63553</v>
      </c>
      <c r="F26" s="73">
        <f>'[1]All age Groups'!K26</f>
        <v>70990</v>
      </c>
      <c r="G26" s="74">
        <f>'[1]All age Groups'!L26</f>
        <v>61525</v>
      </c>
      <c r="H26" s="73">
        <f>'[1]All age Groups'!M26</f>
        <v>51721</v>
      </c>
      <c r="I26" s="74">
        <f>'[1]All age Groups'!N26</f>
        <v>49017</v>
      </c>
      <c r="J26" s="73">
        <f>'[1]All age Groups'!O26</f>
        <v>33805</v>
      </c>
      <c r="K26" s="74">
        <f>'[1]All age Groups'!P26</f>
        <v>39890</v>
      </c>
      <c r="L26" s="73">
        <f>'[1]All age Groups'!Q26</f>
        <v>17578</v>
      </c>
      <c r="M26" s="74">
        <f>'[1]All age Groups'!R26</f>
        <v>22649</v>
      </c>
      <c r="N26" s="73">
        <f>'[1]All age Groups'!S26</f>
        <v>14198</v>
      </c>
      <c r="O26" s="74">
        <f>'[1]All age Groups'!T26</f>
        <v>23325</v>
      </c>
      <c r="P26" s="73">
        <f>'[1]All age Groups'!U26</f>
        <v>15212</v>
      </c>
      <c r="Q26" s="74">
        <f>'[1]All age Groups'!V26</f>
        <v>18255</v>
      </c>
      <c r="R26" s="73">
        <f>'[1]All age Groups'!W26</f>
        <v>11832</v>
      </c>
      <c r="S26" s="74">
        <f>'[1]All age Groups'!X26</f>
        <v>15212</v>
      </c>
      <c r="T26" s="73">
        <f>'[1]All age Groups'!Y26</f>
        <v>13860</v>
      </c>
      <c r="U26" s="74">
        <f>'[1]All age Groups'!Z26</f>
        <v>8451</v>
      </c>
      <c r="V26" s="73">
        <f>'[1]All age Groups'!AA26</f>
        <v>6423</v>
      </c>
      <c r="W26" s="74">
        <f>'[1]All age Groups'!AB26</f>
        <v>4395</v>
      </c>
      <c r="X26" s="73">
        <f>'[1]All age Groups'!AC26</f>
        <v>8789</v>
      </c>
      <c r="Y26" s="74">
        <f>'[1]All age Groups'!AD26</f>
        <v>11494</v>
      </c>
      <c r="Z26" s="73">
        <f>'[1]All age Groups'!AE26</f>
        <v>3719</v>
      </c>
      <c r="AA26" s="74">
        <f>'[1]All age Groups'!AF26</f>
        <v>4057</v>
      </c>
      <c r="AB26" s="73">
        <f>'[1]All age Groups'!AG26</f>
        <v>6085</v>
      </c>
      <c r="AC26" s="74">
        <f>'[1]All age Groups'!AH26</f>
        <v>5747</v>
      </c>
      <c r="AD26" s="73">
        <f>'[1]All age Groups'!AI26</f>
        <v>1352</v>
      </c>
      <c r="AE26" s="74">
        <f>'[1]All age Groups'!AJ26</f>
        <v>2028</v>
      </c>
      <c r="AF26" s="73">
        <f>'[1]All age Groups'!AK26</f>
        <v>3380</v>
      </c>
      <c r="AG26" s="74">
        <f>'[1]All age Groups'!AL26</f>
        <v>3719</v>
      </c>
      <c r="AH26" s="73">
        <f>'[1]All age Groups'!AM26</f>
        <v>676</v>
      </c>
      <c r="AI26" s="74">
        <f>'[1]All age Groups'!AN26</f>
        <v>1014</v>
      </c>
      <c r="AJ26" s="73">
        <f>'[1]All age Groups'!AO26</f>
        <v>4057</v>
      </c>
      <c r="AK26" s="74">
        <f>'[1]All age Groups'!AP26</f>
        <v>4057</v>
      </c>
      <c r="AL26" s="75">
        <f t="shared" si="0"/>
        <v>336357</v>
      </c>
      <c r="AM26" s="75">
        <f t="shared" si="0"/>
        <v>338388</v>
      </c>
      <c r="AN26" s="76">
        <f t="shared" si="1"/>
        <v>674745</v>
      </c>
    </row>
    <row r="27" spans="1:57" x14ac:dyDescent="0.5">
      <c r="A27" s="71" t="str">
        <f>'[1]All age Groups'!C27</f>
        <v xml:space="preserve">Galmudug  </v>
      </c>
      <c r="B27" s="72" t="str">
        <f>'[1]All age Groups'!D27</f>
        <v>Mudug</v>
      </c>
      <c r="C27" s="72" t="str">
        <f>'[1]All age Groups'!E27</f>
        <v>Gaalkacyo South</v>
      </c>
      <c r="D27" s="73">
        <f>'[1]All age Groups'!I27</f>
        <v>20788</v>
      </c>
      <c r="E27" s="74">
        <f>'[1]All age Groups'!J27</f>
        <v>17120</v>
      </c>
      <c r="F27" s="73">
        <f>'[1]All age Groups'!K27</f>
        <v>19653</v>
      </c>
      <c r="G27" s="74">
        <f>'[1]All age Groups'!L27</f>
        <v>15722</v>
      </c>
      <c r="H27" s="73">
        <f>'[1]All age Groups'!M27</f>
        <v>14237</v>
      </c>
      <c r="I27" s="74">
        <f>'[1]All age Groups'!N27</f>
        <v>12054</v>
      </c>
      <c r="J27" s="73">
        <f>'[1]All age Groups'!O27</f>
        <v>7948</v>
      </c>
      <c r="K27" s="74">
        <f>'[1]All age Groups'!P27</f>
        <v>11005</v>
      </c>
      <c r="L27" s="73">
        <f>'[1]All age Groups'!Q27</f>
        <v>3931</v>
      </c>
      <c r="M27" s="74">
        <f>'[1]All age Groups'!R27</f>
        <v>5503</v>
      </c>
      <c r="N27" s="73">
        <f>'[1]All age Groups'!S27</f>
        <v>2882</v>
      </c>
      <c r="O27" s="74">
        <f>'[1]All age Groups'!T27</f>
        <v>5939</v>
      </c>
      <c r="P27" s="73">
        <f>'[1]All age Groups'!U27</f>
        <v>3494</v>
      </c>
      <c r="Q27" s="74">
        <f>'[1]All age Groups'!V27</f>
        <v>4367</v>
      </c>
      <c r="R27" s="73">
        <f>'[1]All age Groups'!W27</f>
        <v>2533</v>
      </c>
      <c r="S27" s="74">
        <f>'[1]All age Groups'!X27</f>
        <v>4018</v>
      </c>
      <c r="T27" s="73">
        <f>'[1]All age Groups'!Y27</f>
        <v>2882</v>
      </c>
      <c r="U27" s="74">
        <f>'[1]All age Groups'!Z27</f>
        <v>1834</v>
      </c>
      <c r="V27" s="73">
        <f>'[1]All age Groups'!AA27</f>
        <v>1485</v>
      </c>
      <c r="W27" s="74">
        <f>'[1]All age Groups'!AB27</f>
        <v>961</v>
      </c>
      <c r="X27" s="73">
        <f>'[1]All age Groups'!AC27</f>
        <v>1922</v>
      </c>
      <c r="Y27" s="74">
        <f>'[1]All age Groups'!AD27</f>
        <v>2620</v>
      </c>
      <c r="Z27" s="73">
        <f>'[1]All age Groups'!AE27</f>
        <v>611</v>
      </c>
      <c r="AA27" s="74">
        <f>'[1]All age Groups'!AF27</f>
        <v>1048</v>
      </c>
      <c r="AB27" s="73">
        <f>'[1]All age Groups'!AG27</f>
        <v>1398</v>
      </c>
      <c r="AC27" s="74">
        <f>'[1]All age Groups'!AH27</f>
        <v>1660</v>
      </c>
      <c r="AD27" s="73">
        <f>'[1]All age Groups'!AI27</f>
        <v>349</v>
      </c>
      <c r="AE27" s="74">
        <f>'[1]All age Groups'!AJ27</f>
        <v>786</v>
      </c>
      <c r="AF27" s="73">
        <f>'[1]All age Groups'!AK27</f>
        <v>1048</v>
      </c>
      <c r="AG27" s="74">
        <f>'[1]All age Groups'!AL27</f>
        <v>1048</v>
      </c>
      <c r="AH27" s="73">
        <f>'[1]All age Groups'!AM27</f>
        <v>262</v>
      </c>
      <c r="AI27" s="74">
        <f>'[1]All age Groups'!AN27</f>
        <v>437</v>
      </c>
      <c r="AJ27" s="73">
        <f>'[1]All age Groups'!AO27</f>
        <v>1048</v>
      </c>
      <c r="AK27" s="74">
        <f>'[1]All age Groups'!AP27</f>
        <v>1398</v>
      </c>
      <c r="AL27" s="75">
        <f t="shared" si="0"/>
        <v>86471</v>
      </c>
      <c r="AM27" s="75">
        <f t="shared" si="0"/>
        <v>87520</v>
      </c>
      <c r="AN27" s="76">
        <f t="shared" si="1"/>
        <v>173991</v>
      </c>
    </row>
    <row r="28" spans="1:57" x14ac:dyDescent="0.5">
      <c r="A28" s="71" t="str">
        <f>'[1]All age Groups'!C28</f>
        <v xml:space="preserve">Puntland  </v>
      </c>
      <c r="B28" s="72" t="str">
        <f>'[1]All age Groups'!D28</f>
        <v>Mudug</v>
      </c>
      <c r="C28" s="72" t="str">
        <f>'[1]All age Groups'!E28</f>
        <v>Galdogob</v>
      </c>
      <c r="D28" s="73">
        <f>'[1]All age Groups'!I28</f>
        <v>20465</v>
      </c>
      <c r="E28" s="74">
        <f>'[1]All age Groups'!J28</f>
        <v>17895</v>
      </c>
      <c r="F28" s="73">
        <f>'[1]All age Groups'!K28</f>
        <v>19989</v>
      </c>
      <c r="G28" s="74">
        <f>'[1]All age Groups'!L28</f>
        <v>17324</v>
      </c>
      <c r="H28" s="73">
        <f>'[1]All age Groups'!M28</f>
        <v>14563</v>
      </c>
      <c r="I28" s="74">
        <f>'[1]All age Groups'!N28</f>
        <v>13802</v>
      </c>
      <c r="J28" s="73">
        <f>'[1]All age Groups'!O28</f>
        <v>9518</v>
      </c>
      <c r="K28" s="74">
        <f>'[1]All age Groups'!P28</f>
        <v>11232</v>
      </c>
      <c r="L28" s="73">
        <f>'[1]All age Groups'!Q28</f>
        <v>4950</v>
      </c>
      <c r="M28" s="74">
        <f>'[1]All age Groups'!R28</f>
        <v>6377</v>
      </c>
      <c r="N28" s="73">
        <f>'[1]All age Groups'!S28</f>
        <v>3998</v>
      </c>
      <c r="O28" s="74">
        <f>'[1]All age Groups'!T28</f>
        <v>6568</v>
      </c>
      <c r="P28" s="73">
        <f>'[1]All age Groups'!U28</f>
        <v>4283</v>
      </c>
      <c r="Q28" s="74">
        <f>'[1]All age Groups'!V28</f>
        <v>5140</v>
      </c>
      <c r="R28" s="73">
        <f>'[1]All age Groups'!W28</f>
        <v>3331</v>
      </c>
      <c r="S28" s="74">
        <f>'[1]All age Groups'!X28</f>
        <v>4283</v>
      </c>
      <c r="T28" s="73">
        <f>'[1]All age Groups'!Y28</f>
        <v>3903</v>
      </c>
      <c r="U28" s="74">
        <f>'[1]All age Groups'!Z28</f>
        <v>2380</v>
      </c>
      <c r="V28" s="73">
        <f>'[1]All age Groups'!AA28</f>
        <v>1809</v>
      </c>
      <c r="W28" s="74">
        <f>'[1]All age Groups'!AB28</f>
        <v>1237</v>
      </c>
      <c r="X28" s="73">
        <f>'[1]All age Groups'!AC28</f>
        <v>2475</v>
      </c>
      <c r="Y28" s="74">
        <f>'[1]All age Groups'!AD28</f>
        <v>3236</v>
      </c>
      <c r="Z28" s="73">
        <f>'[1]All age Groups'!AE28</f>
        <v>1047</v>
      </c>
      <c r="AA28" s="74">
        <f>'[1]All age Groups'!AF28</f>
        <v>1142</v>
      </c>
      <c r="AB28" s="73">
        <f>'[1]All age Groups'!AG28</f>
        <v>1713</v>
      </c>
      <c r="AC28" s="74">
        <f>'[1]All age Groups'!AH28</f>
        <v>1618</v>
      </c>
      <c r="AD28" s="73">
        <f>'[1]All age Groups'!AI28</f>
        <v>381</v>
      </c>
      <c r="AE28" s="74">
        <f>'[1]All age Groups'!AJ28</f>
        <v>571</v>
      </c>
      <c r="AF28" s="73">
        <f>'[1]All age Groups'!AK28</f>
        <v>952</v>
      </c>
      <c r="AG28" s="74">
        <f>'[1]All age Groups'!AL28</f>
        <v>1047</v>
      </c>
      <c r="AH28" s="73">
        <f>'[1]All age Groups'!AM28</f>
        <v>190</v>
      </c>
      <c r="AI28" s="74">
        <f>'[1]All age Groups'!AN28</f>
        <v>286</v>
      </c>
      <c r="AJ28" s="73">
        <f>'[1]All age Groups'!AO28</f>
        <v>1142</v>
      </c>
      <c r="AK28" s="74">
        <f>'[1]All age Groups'!AP28</f>
        <v>1142</v>
      </c>
      <c r="AL28" s="75">
        <f t="shared" si="0"/>
        <v>94709</v>
      </c>
      <c r="AM28" s="75">
        <f t="shared" si="0"/>
        <v>95280</v>
      </c>
      <c r="AN28" s="76">
        <f t="shared" si="1"/>
        <v>189989</v>
      </c>
    </row>
    <row r="29" spans="1:57" x14ac:dyDescent="0.5">
      <c r="A29" s="71" t="str">
        <f>'[1]All age Groups'!C29</f>
        <v xml:space="preserve">Galmudug  </v>
      </c>
      <c r="B29" s="72" t="str">
        <f>'[1]All age Groups'!D29</f>
        <v>Mudug</v>
      </c>
      <c r="C29" s="72" t="str">
        <f>'[1]All age Groups'!E29</f>
        <v>Hobyo</v>
      </c>
      <c r="D29" s="73">
        <f>'[1]All age Groups'!I29</f>
        <v>23153</v>
      </c>
      <c r="E29" s="74">
        <f>'[1]All age Groups'!J29</f>
        <v>19067</v>
      </c>
      <c r="F29" s="73">
        <f>'[1]All age Groups'!K29</f>
        <v>21888</v>
      </c>
      <c r="G29" s="74">
        <f>'[1]All age Groups'!L29</f>
        <v>17511</v>
      </c>
      <c r="H29" s="73">
        <f>'[1]All age Groups'!M29</f>
        <v>15857</v>
      </c>
      <c r="I29" s="74">
        <f>'[1]All age Groups'!N29</f>
        <v>13425</v>
      </c>
      <c r="J29" s="73">
        <f>'[1]All age Groups'!O29</f>
        <v>8853</v>
      </c>
      <c r="K29" s="74">
        <f>'[1]All age Groups'!P29</f>
        <v>12257</v>
      </c>
      <c r="L29" s="73">
        <f>'[1]All age Groups'!Q29</f>
        <v>4378</v>
      </c>
      <c r="M29" s="74">
        <f>'[1]All age Groups'!R29</f>
        <v>6129</v>
      </c>
      <c r="N29" s="73">
        <f>'[1]All age Groups'!S29</f>
        <v>3210</v>
      </c>
      <c r="O29" s="74">
        <f>'[1]All age Groups'!T29</f>
        <v>6615</v>
      </c>
      <c r="P29" s="73">
        <f>'[1]All age Groups'!U29</f>
        <v>3891</v>
      </c>
      <c r="Q29" s="74">
        <f>'[1]All age Groups'!V29</f>
        <v>4864</v>
      </c>
      <c r="R29" s="73">
        <f>'[1]All age Groups'!W29</f>
        <v>2821</v>
      </c>
      <c r="S29" s="74">
        <f>'[1]All age Groups'!X29</f>
        <v>4475</v>
      </c>
      <c r="T29" s="73">
        <f>'[1]All age Groups'!Y29</f>
        <v>3210</v>
      </c>
      <c r="U29" s="74">
        <f>'[1]All age Groups'!Z29</f>
        <v>2043</v>
      </c>
      <c r="V29" s="73">
        <f>'[1]All age Groups'!AA29</f>
        <v>1654</v>
      </c>
      <c r="W29" s="74">
        <f>'[1]All age Groups'!AB29</f>
        <v>1070</v>
      </c>
      <c r="X29" s="73">
        <f>'[1]All age Groups'!AC29</f>
        <v>2140</v>
      </c>
      <c r="Y29" s="74">
        <f>'[1]All age Groups'!AD29</f>
        <v>2918</v>
      </c>
      <c r="Z29" s="73">
        <f>'[1]All age Groups'!AE29</f>
        <v>681</v>
      </c>
      <c r="AA29" s="74">
        <f>'[1]All age Groups'!AF29</f>
        <v>1167</v>
      </c>
      <c r="AB29" s="73">
        <f>'[1]All age Groups'!AG29</f>
        <v>1557</v>
      </c>
      <c r="AC29" s="74">
        <f>'[1]All age Groups'!AH29</f>
        <v>1848</v>
      </c>
      <c r="AD29" s="73">
        <f>'[1]All age Groups'!AI29</f>
        <v>389</v>
      </c>
      <c r="AE29" s="74">
        <f>'[1]All age Groups'!AJ29</f>
        <v>876</v>
      </c>
      <c r="AF29" s="73">
        <f>'[1]All age Groups'!AK29</f>
        <v>1167</v>
      </c>
      <c r="AG29" s="74">
        <f>'[1]All age Groups'!AL29</f>
        <v>1167</v>
      </c>
      <c r="AH29" s="73">
        <f>'[1]All age Groups'!AM29</f>
        <v>292</v>
      </c>
      <c r="AI29" s="74">
        <f>'[1]All age Groups'!AN29</f>
        <v>486</v>
      </c>
      <c r="AJ29" s="73">
        <f>'[1]All age Groups'!AO29</f>
        <v>1167</v>
      </c>
      <c r="AK29" s="74">
        <f>'[1]All age Groups'!AP29</f>
        <v>1557</v>
      </c>
      <c r="AL29" s="75">
        <f t="shared" si="0"/>
        <v>96308</v>
      </c>
      <c r="AM29" s="75">
        <f t="shared" si="0"/>
        <v>97475</v>
      </c>
      <c r="AN29" s="76">
        <f t="shared" si="1"/>
        <v>193783</v>
      </c>
    </row>
    <row r="30" spans="1:57" x14ac:dyDescent="0.5">
      <c r="A30" s="71" t="str">
        <f>'[1]All age Groups'!C30</f>
        <v xml:space="preserve">Galmudug  </v>
      </c>
      <c r="B30" s="72" t="str">
        <f>'[1]All age Groups'!D30</f>
        <v>Mudug</v>
      </c>
      <c r="C30" s="72" t="str">
        <f>'[1]All age Groups'!E30</f>
        <v>Jariiban</v>
      </c>
      <c r="D30" s="73">
        <f>'[1]All age Groups'!I30</f>
        <v>23785</v>
      </c>
      <c r="E30" s="74">
        <f>'[1]All age Groups'!J30</f>
        <v>19588</v>
      </c>
      <c r="F30" s="73">
        <f>'[1]All age Groups'!K30</f>
        <v>22486</v>
      </c>
      <c r="G30" s="74">
        <f>'[1]All age Groups'!L30</f>
        <v>17989</v>
      </c>
      <c r="H30" s="73">
        <f>'[1]All age Groups'!M30</f>
        <v>16290</v>
      </c>
      <c r="I30" s="74">
        <f>'[1]All age Groups'!N30</f>
        <v>13791</v>
      </c>
      <c r="J30" s="73">
        <f>'[1]All age Groups'!O30</f>
        <v>9094</v>
      </c>
      <c r="K30" s="74">
        <f>'[1]All age Groups'!P30</f>
        <v>12592</v>
      </c>
      <c r="L30" s="73">
        <f>'[1]All age Groups'!Q30</f>
        <v>4497</v>
      </c>
      <c r="M30" s="74">
        <f>'[1]All age Groups'!R30</f>
        <v>6296</v>
      </c>
      <c r="N30" s="73">
        <f>'[1]All age Groups'!S30</f>
        <v>3298</v>
      </c>
      <c r="O30" s="74">
        <f>'[1]All age Groups'!T30</f>
        <v>6796</v>
      </c>
      <c r="P30" s="73">
        <f>'[1]All age Groups'!U30</f>
        <v>3998</v>
      </c>
      <c r="Q30" s="74">
        <f>'[1]All age Groups'!V30</f>
        <v>4997</v>
      </c>
      <c r="R30" s="73">
        <f>'[1]All age Groups'!W30</f>
        <v>2898</v>
      </c>
      <c r="S30" s="74">
        <f>'[1]All age Groups'!X30</f>
        <v>4597</v>
      </c>
      <c r="T30" s="73">
        <f>'[1]All age Groups'!Y30</f>
        <v>3298</v>
      </c>
      <c r="U30" s="74">
        <f>'[1]All age Groups'!Z30</f>
        <v>2099</v>
      </c>
      <c r="V30" s="73">
        <f>'[1]All age Groups'!AA30</f>
        <v>1699</v>
      </c>
      <c r="W30" s="74">
        <f>'[1]All age Groups'!AB30</f>
        <v>1099</v>
      </c>
      <c r="X30" s="73">
        <f>'[1]All age Groups'!AC30</f>
        <v>2199</v>
      </c>
      <c r="Y30" s="74">
        <f>'[1]All age Groups'!AD30</f>
        <v>2998</v>
      </c>
      <c r="Z30" s="73">
        <f>'[1]All age Groups'!AE30</f>
        <v>700</v>
      </c>
      <c r="AA30" s="74">
        <f>'[1]All age Groups'!AF30</f>
        <v>1199</v>
      </c>
      <c r="AB30" s="73">
        <f>'[1]All age Groups'!AG30</f>
        <v>1599</v>
      </c>
      <c r="AC30" s="74">
        <f>'[1]All age Groups'!AH30</f>
        <v>1899</v>
      </c>
      <c r="AD30" s="73">
        <f>'[1]All age Groups'!AI30</f>
        <v>400</v>
      </c>
      <c r="AE30" s="74">
        <f>'[1]All age Groups'!AJ30</f>
        <v>899</v>
      </c>
      <c r="AF30" s="73">
        <f>'[1]All age Groups'!AK30</f>
        <v>1199</v>
      </c>
      <c r="AG30" s="74">
        <f>'[1]All age Groups'!AL30</f>
        <v>1199</v>
      </c>
      <c r="AH30" s="73">
        <f>'[1]All age Groups'!AM30</f>
        <v>300</v>
      </c>
      <c r="AI30" s="74">
        <f>'[1]All age Groups'!AN30</f>
        <v>500</v>
      </c>
      <c r="AJ30" s="73">
        <f>'[1]All age Groups'!AO30</f>
        <v>1199</v>
      </c>
      <c r="AK30" s="74">
        <f>'[1]All age Groups'!AP30</f>
        <v>1599</v>
      </c>
      <c r="AL30" s="75">
        <f t="shared" si="0"/>
        <v>98939</v>
      </c>
      <c r="AM30" s="75">
        <f t="shared" si="0"/>
        <v>100137</v>
      </c>
      <c r="AN30" s="76">
        <f t="shared" si="1"/>
        <v>199076</v>
      </c>
    </row>
    <row r="31" spans="1:57" x14ac:dyDescent="0.5">
      <c r="A31" s="71" t="str">
        <f>'[1]All age Groups'!C31</f>
        <v xml:space="preserve">Galmudug  </v>
      </c>
      <c r="B31" s="72" t="str">
        <f>'[1]All age Groups'!D31</f>
        <v>Mudug</v>
      </c>
      <c r="C31" s="72" t="str">
        <f>'[1]All age Groups'!E31</f>
        <v>Xarardheere</v>
      </c>
      <c r="D31" s="73">
        <f>'[1]All age Groups'!I31</f>
        <v>10090</v>
      </c>
      <c r="E31" s="74">
        <f>'[1]All age Groups'!J31</f>
        <v>8309</v>
      </c>
      <c r="F31" s="73">
        <f>'[1]All age Groups'!K31</f>
        <v>9539</v>
      </c>
      <c r="G31" s="74">
        <f>'[1]All age Groups'!L31</f>
        <v>7631</v>
      </c>
      <c r="H31" s="73">
        <f>'[1]All age Groups'!M31</f>
        <v>6910</v>
      </c>
      <c r="I31" s="74">
        <f>'[1]All age Groups'!N31</f>
        <v>5850</v>
      </c>
      <c r="J31" s="73">
        <f>'[1]All age Groups'!O31</f>
        <v>3858</v>
      </c>
      <c r="K31" s="74">
        <f>'[1]All age Groups'!P31</f>
        <v>5342</v>
      </c>
      <c r="L31" s="73">
        <f>'[1]All age Groups'!Q31</f>
        <v>1908</v>
      </c>
      <c r="M31" s="74">
        <f>'[1]All age Groups'!R31</f>
        <v>2671</v>
      </c>
      <c r="N31" s="73">
        <f>'[1]All age Groups'!S31</f>
        <v>1399</v>
      </c>
      <c r="O31" s="74">
        <f>'[1]All age Groups'!T31</f>
        <v>2883</v>
      </c>
      <c r="P31" s="73">
        <f>'[1]All age Groups'!U31</f>
        <v>1696</v>
      </c>
      <c r="Q31" s="74">
        <f>'[1]All age Groups'!V31</f>
        <v>2120</v>
      </c>
      <c r="R31" s="73">
        <f>'[1]All age Groups'!W31</f>
        <v>1229</v>
      </c>
      <c r="S31" s="74">
        <f>'[1]All age Groups'!X31</f>
        <v>1950</v>
      </c>
      <c r="T31" s="73">
        <f>'[1]All age Groups'!Y31</f>
        <v>1399</v>
      </c>
      <c r="U31" s="74">
        <f>'[1]All age Groups'!Z31</f>
        <v>890</v>
      </c>
      <c r="V31" s="73">
        <f>'[1]All age Groups'!AA31</f>
        <v>721</v>
      </c>
      <c r="W31" s="74">
        <f>'[1]All age Groups'!AB31</f>
        <v>466</v>
      </c>
      <c r="X31" s="73">
        <f>'[1]All age Groups'!AC31</f>
        <v>933</v>
      </c>
      <c r="Y31" s="74">
        <f>'[1]All age Groups'!AD31</f>
        <v>1272</v>
      </c>
      <c r="Z31" s="73">
        <f>'[1]All age Groups'!AE31</f>
        <v>297</v>
      </c>
      <c r="AA31" s="74">
        <f>'[1]All age Groups'!AF31</f>
        <v>509</v>
      </c>
      <c r="AB31" s="73">
        <f>'[1]All age Groups'!AG31</f>
        <v>678</v>
      </c>
      <c r="AC31" s="74">
        <f>'[1]All age Groups'!AH31</f>
        <v>805</v>
      </c>
      <c r="AD31" s="73">
        <f>'[1]All age Groups'!AI31</f>
        <v>170</v>
      </c>
      <c r="AE31" s="74">
        <f>'[1]All age Groups'!AJ31</f>
        <v>382</v>
      </c>
      <c r="AF31" s="73">
        <f>'[1]All age Groups'!AK31</f>
        <v>509</v>
      </c>
      <c r="AG31" s="74">
        <f>'[1]All age Groups'!AL31</f>
        <v>509</v>
      </c>
      <c r="AH31" s="73">
        <f>'[1]All age Groups'!AM31</f>
        <v>127</v>
      </c>
      <c r="AI31" s="74">
        <f>'[1]All age Groups'!AN31</f>
        <v>212</v>
      </c>
      <c r="AJ31" s="73">
        <f>'[1]All age Groups'!AO31</f>
        <v>509</v>
      </c>
      <c r="AK31" s="74">
        <f>'[1]All age Groups'!AP31</f>
        <v>678</v>
      </c>
      <c r="AL31" s="75">
        <f t="shared" si="0"/>
        <v>41972</v>
      </c>
      <c r="AM31" s="75">
        <f t="shared" si="0"/>
        <v>42479</v>
      </c>
      <c r="AN31" s="76">
        <f t="shared" si="1"/>
        <v>84451</v>
      </c>
    </row>
    <row r="32" spans="1:57" x14ac:dyDescent="0.5">
      <c r="A32" s="71" t="str">
        <f>'[1]All age Groups'!C32</f>
        <v xml:space="preserve">Hirshabelle  </v>
      </c>
      <c r="B32" s="72" t="str">
        <f>'[1]All age Groups'!D32</f>
        <v>Hiraan</v>
      </c>
      <c r="C32" s="72" t="str">
        <f>'[1]All age Groups'!E32</f>
        <v>Belet Weyne</v>
      </c>
      <c r="D32" s="73">
        <f>'[1]All age Groups'!I32</f>
        <v>38163</v>
      </c>
      <c r="E32" s="74">
        <f>'[1]All age Groups'!J32</f>
        <v>40274</v>
      </c>
      <c r="F32" s="73">
        <f>'[1]All age Groups'!K32</f>
        <v>36053</v>
      </c>
      <c r="G32" s="74">
        <f>'[1]All age Groups'!L32</f>
        <v>35877</v>
      </c>
      <c r="H32" s="73">
        <f>'[1]All age Groups'!M32</f>
        <v>27787</v>
      </c>
      <c r="I32" s="74">
        <f>'[1]All age Groups'!N32</f>
        <v>25501</v>
      </c>
      <c r="J32" s="73">
        <f>'[1]All age Groups'!O32</f>
        <v>16004</v>
      </c>
      <c r="K32" s="74">
        <f>'[1]All age Groups'!P32</f>
        <v>15300</v>
      </c>
      <c r="L32" s="73">
        <f>'[1]All age Groups'!Q32</f>
        <v>8442</v>
      </c>
      <c r="M32" s="74">
        <f>'[1]All age Groups'!R32</f>
        <v>10200</v>
      </c>
      <c r="N32" s="73">
        <f>'[1]All age Groups'!S32</f>
        <v>8618</v>
      </c>
      <c r="O32" s="74">
        <f>'[1]All age Groups'!T32</f>
        <v>12311</v>
      </c>
      <c r="P32" s="73">
        <f>'[1]All age Groups'!U32</f>
        <v>7914</v>
      </c>
      <c r="Q32" s="74">
        <f>'[1]All age Groups'!V32</f>
        <v>7211</v>
      </c>
      <c r="R32" s="73">
        <f>'[1]All age Groups'!W32</f>
        <v>7211</v>
      </c>
      <c r="S32" s="74">
        <f>'[1]All age Groups'!X32</f>
        <v>6507</v>
      </c>
      <c r="T32" s="73">
        <f>'[1]All age Groups'!Y32</f>
        <v>4221</v>
      </c>
      <c r="U32" s="74">
        <f>'[1]All age Groups'!Z32</f>
        <v>4221</v>
      </c>
      <c r="V32" s="73">
        <f>'[1]All age Groups'!AA32</f>
        <v>3693</v>
      </c>
      <c r="W32" s="74">
        <f>'[1]All age Groups'!AB32</f>
        <v>1935</v>
      </c>
      <c r="X32" s="73">
        <f>'[1]All age Groups'!AC32</f>
        <v>5628</v>
      </c>
      <c r="Y32" s="74">
        <f>'[1]All age Groups'!AD32</f>
        <v>6507</v>
      </c>
      <c r="Z32" s="73">
        <f>'[1]All age Groups'!AE32</f>
        <v>2462</v>
      </c>
      <c r="AA32" s="74">
        <f>'[1]All age Groups'!AF32</f>
        <v>2638</v>
      </c>
      <c r="AB32" s="73">
        <f>'[1]All age Groups'!AG32</f>
        <v>3517</v>
      </c>
      <c r="AC32" s="74">
        <f>'[1]All age Groups'!AH32</f>
        <v>2814</v>
      </c>
      <c r="AD32" s="73">
        <f>'[1]All age Groups'!AI32</f>
        <v>1407</v>
      </c>
      <c r="AE32" s="74">
        <f>'[1]All age Groups'!AJ32</f>
        <v>879</v>
      </c>
      <c r="AF32" s="73">
        <f>'[1]All age Groups'!AK32</f>
        <v>1231</v>
      </c>
      <c r="AG32" s="74">
        <f>'[1]All age Groups'!AL32</f>
        <v>1935</v>
      </c>
      <c r="AH32" s="73">
        <f>'[1]All age Groups'!AM32</f>
        <v>703</v>
      </c>
      <c r="AI32" s="74">
        <f>'[1]All age Groups'!AN32</f>
        <v>528</v>
      </c>
      <c r="AJ32" s="73">
        <f>'[1]All age Groups'!AO32</f>
        <v>1583</v>
      </c>
      <c r="AK32" s="74">
        <f>'[1]All age Groups'!AP32</f>
        <v>1407</v>
      </c>
      <c r="AL32" s="75">
        <f t="shared" si="0"/>
        <v>174637</v>
      </c>
      <c r="AM32" s="75">
        <f t="shared" si="0"/>
        <v>176045</v>
      </c>
      <c r="AN32" s="76">
        <f t="shared" si="1"/>
        <v>350682</v>
      </c>
    </row>
    <row r="33" spans="1:40" x14ac:dyDescent="0.5">
      <c r="A33" s="71" t="str">
        <f>'[1]All age Groups'!C33</f>
        <v xml:space="preserve">Hirshabelle  </v>
      </c>
      <c r="B33" s="72" t="str">
        <f>'[1]All age Groups'!D33</f>
        <v>Hiraan</v>
      </c>
      <c r="C33" s="72" t="str">
        <f>'[1]All age Groups'!E33</f>
        <v>Bulo Burto</v>
      </c>
      <c r="D33" s="73">
        <f>'[1]All age Groups'!I33</f>
        <v>11300</v>
      </c>
      <c r="E33" s="74">
        <f>'[1]All age Groups'!J33</f>
        <v>11925</v>
      </c>
      <c r="F33" s="73">
        <f>'[1]All age Groups'!K33</f>
        <v>10675</v>
      </c>
      <c r="G33" s="74">
        <f>'[1]All age Groups'!L33</f>
        <v>10623</v>
      </c>
      <c r="H33" s="73">
        <f>'[1]All age Groups'!M33</f>
        <v>8228</v>
      </c>
      <c r="I33" s="74">
        <f>'[1]All age Groups'!N33</f>
        <v>7551</v>
      </c>
      <c r="J33" s="73">
        <f>'[1]All age Groups'!O33</f>
        <v>4739</v>
      </c>
      <c r="K33" s="74">
        <f>'[1]All age Groups'!P33</f>
        <v>4530</v>
      </c>
      <c r="L33" s="73">
        <f>'[1]All age Groups'!Q33</f>
        <v>2500</v>
      </c>
      <c r="M33" s="74">
        <f>'[1]All age Groups'!R33</f>
        <v>3020</v>
      </c>
      <c r="N33" s="73">
        <f>'[1]All age Groups'!S33</f>
        <v>2552</v>
      </c>
      <c r="O33" s="74">
        <f>'[1]All age Groups'!T33</f>
        <v>3645</v>
      </c>
      <c r="P33" s="73">
        <f>'[1]All age Groups'!U33</f>
        <v>2343</v>
      </c>
      <c r="Q33" s="74">
        <f>'[1]All age Groups'!V33</f>
        <v>2135</v>
      </c>
      <c r="R33" s="73">
        <f>'[1]All age Groups'!W33</f>
        <v>2135</v>
      </c>
      <c r="S33" s="74">
        <f>'[1]All age Groups'!X33</f>
        <v>1927</v>
      </c>
      <c r="T33" s="73">
        <f>'[1]All age Groups'!Y33</f>
        <v>1250</v>
      </c>
      <c r="U33" s="74">
        <f>'[1]All age Groups'!Z33</f>
        <v>1250</v>
      </c>
      <c r="V33" s="73">
        <f>'[1]All age Groups'!AA33</f>
        <v>1094</v>
      </c>
      <c r="W33" s="74">
        <f>'[1]All age Groups'!AB33</f>
        <v>573</v>
      </c>
      <c r="X33" s="73">
        <f>'[1]All age Groups'!AC33</f>
        <v>1666</v>
      </c>
      <c r="Y33" s="74">
        <f>'[1]All age Groups'!AD33</f>
        <v>1927</v>
      </c>
      <c r="Z33" s="73">
        <f>'[1]All age Groups'!AE33</f>
        <v>729</v>
      </c>
      <c r="AA33" s="74">
        <f>'[1]All age Groups'!AF33</f>
        <v>781</v>
      </c>
      <c r="AB33" s="73">
        <f>'[1]All age Groups'!AG33</f>
        <v>1041</v>
      </c>
      <c r="AC33" s="74">
        <f>'[1]All age Groups'!AH33</f>
        <v>833</v>
      </c>
      <c r="AD33" s="73">
        <f>'[1]All age Groups'!AI33</f>
        <v>417</v>
      </c>
      <c r="AE33" s="74">
        <f>'[1]All age Groups'!AJ33</f>
        <v>260</v>
      </c>
      <c r="AF33" s="73">
        <f>'[1]All age Groups'!AK33</f>
        <v>365</v>
      </c>
      <c r="AG33" s="74">
        <f>'[1]All age Groups'!AL33</f>
        <v>573</v>
      </c>
      <c r="AH33" s="73">
        <f>'[1]All age Groups'!AM33</f>
        <v>208</v>
      </c>
      <c r="AI33" s="74">
        <f>'[1]All age Groups'!AN33</f>
        <v>156</v>
      </c>
      <c r="AJ33" s="73">
        <f>'[1]All age Groups'!AO33</f>
        <v>469</v>
      </c>
      <c r="AK33" s="74">
        <f>'[1]All age Groups'!AP33</f>
        <v>417</v>
      </c>
      <c r="AL33" s="75">
        <f t="shared" si="0"/>
        <v>51711</v>
      </c>
      <c r="AM33" s="75">
        <f t="shared" si="0"/>
        <v>52126</v>
      </c>
      <c r="AN33" s="76">
        <f t="shared" si="1"/>
        <v>103837</v>
      </c>
    </row>
    <row r="34" spans="1:40" x14ac:dyDescent="0.5">
      <c r="A34" s="71" t="str">
        <f>'[1]All age Groups'!C34</f>
        <v xml:space="preserve">Hirshabelle  </v>
      </c>
      <c r="B34" s="72" t="str">
        <f>'[1]All age Groups'!D34</f>
        <v>Hiraan</v>
      </c>
      <c r="C34" s="72" t="str">
        <f>'[1]All age Groups'!E34</f>
        <v>Jalalaqsi</v>
      </c>
      <c r="D34" s="73">
        <f>'[1]All age Groups'!I34</f>
        <v>7182</v>
      </c>
      <c r="E34" s="74">
        <f>'[1]All age Groups'!J34</f>
        <v>7580</v>
      </c>
      <c r="F34" s="73">
        <f>'[1]All age Groups'!K34</f>
        <v>6785</v>
      </c>
      <c r="G34" s="74">
        <f>'[1]All age Groups'!L34</f>
        <v>6752</v>
      </c>
      <c r="H34" s="73">
        <f>'[1]All age Groups'!M34</f>
        <v>5230</v>
      </c>
      <c r="I34" s="74">
        <f>'[1]All age Groups'!N34</f>
        <v>4799</v>
      </c>
      <c r="J34" s="73">
        <f>'[1]All age Groups'!O34</f>
        <v>3012</v>
      </c>
      <c r="K34" s="74">
        <f>'[1]All age Groups'!P34</f>
        <v>2880</v>
      </c>
      <c r="L34" s="73">
        <f>'[1]All age Groups'!Q34</f>
        <v>1589</v>
      </c>
      <c r="M34" s="74">
        <f>'[1]All age Groups'!R34</f>
        <v>1920</v>
      </c>
      <c r="N34" s="73">
        <f>'[1]All age Groups'!S34</f>
        <v>1622</v>
      </c>
      <c r="O34" s="74">
        <f>'[1]All age Groups'!T34</f>
        <v>2317</v>
      </c>
      <c r="P34" s="73">
        <f>'[1]All age Groups'!U34</f>
        <v>1489</v>
      </c>
      <c r="Q34" s="74">
        <f>'[1]All age Groups'!V34</f>
        <v>1357</v>
      </c>
      <c r="R34" s="73">
        <f>'[1]All age Groups'!W34</f>
        <v>1357</v>
      </c>
      <c r="S34" s="74">
        <f>'[1]All age Groups'!X34</f>
        <v>1225</v>
      </c>
      <c r="T34" s="73">
        <f>'[1]All age Groups'!Y34</f>
        <v>794</v>
      </c>
      <c r="U34" s="74">
        <f>'[1]All age Groups'!Z34</f>
        <v>794</v>
      </c>
      <c r="V34" s="73">
        <f>'[1]All age Groups'!AA34</f>
        <v>695</v>
      </c>
      <c r="W34" s="74">
        <f>'[1]All age Groups'!AB34</f>
        <v>364</v>
      </c>
      <c r="X34" s="73">
        <f>'[1]All age Groups'!AC34</f>
        <v>1059</v>
      </c>
      <c r="Y34" s="74">
        <f>'[1]All age Groups'!AD34</f>
        <v>1225</v>
      </c>
      <c r="Z34" s="73">
        <f>'[1]All age Groups'!AE34</f>
        <v>463</v>
      </c>
      <c r="AA34" s="74">
        <f>'[1]All age Groups'!AF34</f>
        <v>496</v>
      </c>
      <c r="AB34" s="73">
        <f>'[1]All age Groups'!AG34</f>
        <v>662</v>
      </c>
      <c r="AC34" s="74">
        <f>'[1]All age Groups'!AH34</f>
        <v>530</v>
      </c>
      <c r="AD34" s="73">
        <f>'[1]All age Groups'!AI34</f>
        <v>265</v>
      </c>
      <c r="AE34" s="74">
        <f>'[1]All age Groups'!AJ34</f>
        <v>165</v>
      </c>
      <c r="AF34" s="73">
        <f>'[1]All age Groups'!AK34</f>
        <v>232</v>
      </c>
      <c r="AG34" s="74">
        <f>'[1]All age Groups'!AL34</f>
        <v>364</v>
      </c>
      <c r="AH34" s="73">
        <f>'[1]All age Groups'!AM34</f>
        <v>132</v>
      </c>
      <c r="AI34" s="74">
        <f>'[1]All age Groups'!AN34</f>
        <v>99</v>
      </c>
      <c r="AJ34" s="73">
        <f>'[1]All age Groups'!AO34</f>
        <v>298</v>
      </c>
      <c r="AK34" s="74">
        <f>'[1]All age Groups'!AP34</f>
        <v>265</v>
      </c>
      <c r="AL34" s="75">
        <f t="shared" si="0"/>
        <v>32866</v>
      </c>
      <c r="AM34" s="75">
        <f t="shared" si="0"/>
        <v>33132</v>
      </c>
      <c r="AN34" s="76">
        <f t="shared" si="1"/>
        <v>65998</v>
      </c>
    </row>
    <row r="35" spans="1:40" x14ac:dyDescent="0.5">
      <c r="A35" s="71" t="str">
        <f>'[1]All age Groups'!C35</f>
        <v xml:space="preserve">Hirshabelle  </v>
      </c>
      <c r="B35" s="72" t="str">
        <f>'[1]All age Groups'!D35</f>
        <v>Middle Shabelle</v>
      </c>
      <c r="C35" s="72" t="str">
        <f>'[1]All age Groups'!E35</f>
        <v>Adan Yabaal</v>
      </c>
      <c r="D35" s="73">
        <f>'[1]All age Groups'!I35</f>
        <v>11399</v>
      </c>
      <c r="E35" s="74">
        <f>'[1]All age Groups'!J35</f>
        <v>12029</v>
      </c>
      <c r="F35" s="73">
        <f>'[1]All age Groups'!K35</f>
        <v>10768</v>
      </c>
      <c r="G35" s="74">
        <f>'[1]All age Groups'!L35</f>
        <v>10716</v>
      </c>
      <c r="H35" s="73">
        <f>'[1]All age Groups'!M35</f>
        <v>8300</v>
      </c>
      <c r="I35" s="74">
        <f>'[1]All age Groups'!N35</f>
        <v>7617</v>
      </c>
      <c r="J35" s="73">
        <f>'[1]All age Groups'!O35</f>
        <v>4780</v>
      </c>
      <c r="K35" s="74">
        <f>'[1]All age Groups'!P35</f>
        <v>4570</v>
      </c>
      <c r="L35" s="73">
        <f>'[1]All age Groups'!Q35</f>
        <v>2521</v>
      </c>
      <c r="M35" s="74">
        <f>'[1]All age Groups'!R35</f>
        <v>3047</v>
      </c>
      <c r="N35" s="73">
        <f>'[1]All age Groups'!S35</f>
        <v>2574</v>
      </c>
      <c r="O35" s="74">
        <f>'[1]All age Groups'!T35</f>
        <v>3677</v>
      </c>
      <c r="P35" s="73">
        <f>'[1]All age Groups'!U35</f>
        <v>2364</v>
      </c>
      <c r="Q35" s="74">
        <f>'[1]All age Groups'!V35</f>
        <v>2154</v>
      </c>
      <c r="R35" s="73">
        <f>'[1]All age Groups'!W35</f>
        <v>2154</v>
      </c>
      <c r="S35" s="74">
        <f>'[1]All age Groups'!X35</f>
        <v>1944</v>
      </c>
      <c r="T35" s="73">
        <f>'[1]All age Groups'!Y35</f>
        <v>1261</v>
      </c>
      <c r="U35" s="74">
        <f>'[1]All age Groups'!Z35</f>
        <v>1261</v>
      </c>
      <c r="V35" s="73">
        <f>'[1]All age Groups'!AA35</f>
        <v>1103</v>
      </c>
      <c r="W35" s="74">
        <f>'[1]All age Groups'!AB35</f>
        <v>578</v>
      </c>
      <c r="X35" s="73">
        <f>'[1]All age Groups'!AC35</f>
        <v>1681</v>
      </c>
      <c r="Y35" s="74">
        <f>'[1]All age Groups'!AD35</f>
        <v>1944</v>
      </c>
      <c r="Z35" s="73">
        <f>'[1]All age Groups'!AE35</f>
        <v>735</v>
      </c>
      <c r="AA35" s="74">
        <f>'[1]All age Groups'!AF35</f>
        <v>788</v>
      </c>
      <c r="AB35" s="73">
        <f>'[1]All age Groups'!AG35</f>
        <v>1051</v>
      </c>
      <c r="AC35" s="74">
        <f>'[1]All age Groups'!AH35</f>
        <v>840</v>
      </c>
      <c r="AD35" s="73">
        <f>'[1]All age Groups'!AI35</f>
        <v>420</v>
      </c>
      <c r="AE35" s="74">
        <f>'[1]All age Groups'!AJ35</f>
        <v>263</v>
      </c>
      <c r="AF35" s="73">
        <f>'[1]All age Groups'!AK35</f>
        <v>368</v>
      </c>
      <c r="AG35" s="74">
        <f>'[1]All age Groups'!AL35</f>
        <v>578</v>
      </c>
      <c r="AH35" s="73">
        <f>'[1]All age Groups'!AM35</f>
        <v>210</v>
      </c>
      <c r="AI35" s="74">
        <f>'[1]All age Groups'!AN35</f>
        <v>158</v>
      </c>
      <c r="AJ35" s="73">
        <f>'[1]All age Groups'!AO35</f>
        <v>473</v>
      </c>
      <c r="AK35" s="74">
        <f>'[1]All age Groups'!AP35</f>
        <v>420</v>
      </c>
      <c r="AL35" s="75">
        <f t="shared" si="0"/>
        <v>52162</v>
      </c>
      <c r="AM35" s="75">
        <f t="shared" si="0"/>
        <v>52584</v>
      </c>
      <c r="AN35" s="76">
        <f t="shared" si="1"/>
        <v>104746</v>
      </c>
    </row>
    <row r="36" spans="1:40" x14ac:dyDescent="0.5">
      <c r="A36" s="71" t="str">
        <f>'[1]All age Groups'!C36</f>
        <v xml:space="preserve">Hirshabelle  </v>
      </c>
      <c r="B36" s="72" t="str">
        <f>'[1]All age Groups'!D36</f>
        <v>Middle Shabelle</v>
      </c>
      <c r="C36" s="72" t="str">
        <f>'[1]All age Groups'!E36</f>
        <v>Balcad</v>
      </c>
      <c r="D36" s="73">
        <f>'[1]All age Groups'!I36</f>
        <v>44378</v>
      </c>
      <c r="E36" s="74">
        <f>'[1]All age Groups'!J36</f>
        <v>46832</v>
      </c>
      <c r="F36" s="73">
        <f>'[1]All age Groups'!K36</f>
        <v>41924</v>
      </c>
      <c r="G36" s="74">
        <f>'[1]All age Groups'!L36</f>
        <v>41719</v>
      </c>
      <c r="H36" s="73">
        <f>'[1]All age Groups'!M36</f>
        <v>32312</v>
      </c>
      <c r="I36" s="74">
        <f>'[1]All age Groups'!N36</f>
        <v>29653</v>
      </c>
      <c r="J36" s="73">
        <f>'[1]All age Groups'!O36</f>
        <v>18610</v>
      </c>
      <c r="K36" s="74">
        <f>'[1]All age Groups'!P36</f>
        <v>17792</v>
      </c>
      <c r="L36" s="73">
        <f>'[1]All age Groups'!Q36</f>
        <v>9816</v>
      </c>
      <c r="M36" s="74">
        <f>'[1]All age Groups'!R36</f>
        <v>11861</v>
      </c>
      <c r="N36" s="73">
        <f>'[1]All age Groups'!S36</f>
        <v>10021</v>
      </c>
      <c r="O36" s="74">
        <f>'[1]All age Groups'!T36</f>
        <v>14315</v>
      </c>
      <c r="P36" s="73">
        <f>'[1]All age Groups'!U36</f>
        <v>9203</v>
      </c>
      <c r="Q36" s="74">
        <f>'[1]All age Groups'!V36</f>
        <v>8385</v>
      </c>
      <c r="R36" s="73">
        <f>'[1]All age Groups'!W36</f>
        <v>8385</v>
      </c>
      <c r="S36" s="74">
        <f>'[1]All age Groups'!X36</f>
        <v>7567</v>
      </c>
      <c r="T36" s="73">
        <f>'[1]All age Groups'!Y36</f>
        <v>4908</v>
      </c>
      <c r="U36" s="74">
        <f>'[1]All age Groups'!Z36</f>
        <v>4908</v>
      </c>
      <c r="V36" s="73">
        <f>'[1]All age Groups'!AA36</f>
        <v>4295</v>
      </c>
      <c r="W36" s="74">
        <f>'[1]All age Groups'!AB36</f>
        <v>2250</v>
      </c>
      <c r="X36" s="73">
        <f>'[1]All age Groups'!AC36</f>
        <v>6544</v>
      </c>
      <c r="Y36" s="74">
        <f>'[1]All age Groups'!AD36</f>
        <v>7567</v>
      </c>
      <c r="Z36" s="73">
        <f>'[1]All age Groups'!AE36</f>
        <v>2863</v>
      </c>
      <c r="AA36" s="74">
        <f>'[1]All age Groups'!AF36</f>
        <v>3068</v>
      </c>
      <c r="AB36" s="73">
        <f>'[1]All age Groups'!AG36</f>
        <v>4090</v>
      </c>
      <c r="AC36" s="74">
        <f>'[1]All age Groups'!AH36</f>
        <v>3272</v>
      </c>
      <c r="AD36" s="73">
        <f>'[1]All age Groups'!AI36</f>
        <v>1636</v>
      </c>
      <c r="AE36" s="74">
        <f>'[1]All age Groups'!AJ36</f>
        <v>1023</v>
      </c>
      <c r="AF36" s="73">
        <f>'[1]All age Groups'!AK36</f>
        <v>1432</v>
      </c>
      <c r="AG36" s="74">
        <f>'[1]All age Groups'!AL36</f>
        <v>2250</v>
      </c>
      <c r="AH36" s="73">
        <f>'[1]All age Groups'!AM36</f>
        <v>818</v>
      </c>
      <c r="AI36" s="74">
        <f>'[1]All age Groups'!AN36</f>
        <v>614</v>
      </c>
      <c r="AJ36" s="73">
        <f>'[1]All age Groups'!AO36</f>
        <v>1841</v>
      </c>
      <c r="AK36" s="74">
        <f>'[1]All age Groups'!AP36</f>
        <v>1636</v>
      </c>
      <c r="AL36" s="75">
        <f t="shared" si="0"/>
        <v>203076</v>
      </c>
      <c r="AM36" s="75">
        <f t="shared" si="0"/>
        <v>204712</v>
      </c>
      <c r="AN36" s="76">
        <f t="shared" si="1"/>
        <v>407788</v>
      </c>
    </row>
    <row r="37" spans="1:40" x14ac:dyDescent="0.5">
      <c r="A37" s="71" t="str">
        <f>'[1]All age Groups'!C37</f>
        <v xml:space="preserve">Hirshabelle  </v>
      </c>
      <c r="B37" s="72" t="str">
        <f>'[1]All age Groups'!D37</f>
        <v>Middle Shabelle</v>
      </c>
      <c r="C37" s="72" t="str">
        <f>'[1]All age Groups'!E37</f>
        <v>Cadale</v>
      </c>
      <c r="D37" s="73">
        <f>'[1]All age Groups'!I37</f>
        <v>9406</v>
      </c>
      <c r="E37" s="74">
        <f>'[1]All age Groups'!J37</f>
        <v>9926</v>
      </c>
      <c r="F37" s="73">
        <f>'[1]All age Groups'!K37</f>
        <v>8886</v>
      </c>
      <c r="G37" s="74">
        <f>'[1]All age Groups'!L37</f>
        <v>8843</v>
      </c>
      <c r="H37" s="73">
        <f>'[1]All age Groups'!M37</f>
        <v>6849</v>
      </c>
      <c r="I37" s="74">
        <f>'[1]All age Groups'!N37</f>
        <v>6285</v>
      </c>
      <c r="J37" s="73">
        <f>'[1]All age Groups'!O37</f>
        <v>3945</v>
      </c>
      <c r="K37" s="74">
        <f>'[1]All age Groups'!P37</f>
        <v>3771</v>
      </c>
      <c r="L37" s="73">
        <f>'[1]All age Groups'!Q37</f>
        <v>2081</v>
      </c>
      <c r="M37" s="74">
        <f>'[1]All age Groups'!R37</f>
        <v>2514</v>
      </c>
      <c r="N37" s="73">
        <f>'[1]All age Groups'!S37</f>
        <v>2124</v>
      </c>
      <c r="O37" s="74">
        <f>'[1]All age Groups'!T37</f>
        <v>3034</v>
      </c>
      <c r="P37" s="73">
        <f>'[1]All age Groups'!U37</f>
        <v>1951</v>
      </c>
      <c r="Q37" s="74">
        <f>'[1]All age Groups'!V37</f>
        <v>1777</v>
      </c>
      <c r="R37" s="73">
        <f>'[1]All age Groups'!W37</f>
        <v>1777</v>
      </c>
      <c r="S37" s="74">
        <f>'[1]All age Groups'!X37</f>
        <v>1604</v>
      </c>
      <c r="T37" s="73">
        <f>'[1]All age Groups'!Y37</f>
        <v>1040</v>
      </c>
      <c r="U37" s="74">
        <f>'[1]All age Groups'!Z37</f>
        <v>1040</v>
      </c>
      <c r="V37" s="73">
        <f>'[1]All age Groups'!AA37</f>
        <v>910</v>
      </c>
      <c r="W37" s="74">
        <f>'[1]All age Groups'!AB37</f>
        <v>477</v>
      </c>
      <c r="X37" s="73">
        <f>'[1]All age Groups'!AC37</f>
        <v>1387</v>
      </c>
      <c r="Y37" s="74">
        <f>'[1]All age Groups'!AD37</f>
        <v>1604</v>
      </c>
      <c r="Z37" s="73">
        <f>'[1]All age Groups'!AE37</f>
        <v>607</v>
      </c>
      <c r="AA37" s="74">
        <f>'[1]All age Groups'!AF37</f>
        <v>650</v>
      </c>
      <c r="AB37" s="73">
        <f>'[1]All age Groups'!AG37</f>
        <v>867</v>
      </c>
      <c r="AC37" s="74">
        <f>'[1]All age Groups'!AH37</f>
        <v>694</v>
      </c>
      <c r="AD37" s="73">
        <f>'[1]All age Groups'!AI37</f>
        <v>347</v>
      </c>
      <c r="AE37" s="74">
        <f>'[1]All age Groups'!AJ37</f>
        <v>217</v>
      </c>
      <c r="AF37" s="73">
        <f>'[1]All age Groups'!AK37</f>
        <v>303</v>
      </c>
      <c r="AG37" s="74">
        <f>'[1]All age Groups'!AL37</f>
        <v>477</v>
      </c>
      <c r="AH37" s="73">
        <f>'[1]All age Groups'!AM37</f>
        <v>173</v>
      </c>
      <c r="AI37" s="74">
        <f>'[1]All age Groups'!AN37</f>
        <v>130</v>
      </c>
      <c r="AJ37" s="73">
        <f>'[1]All age Groups'!AO37</f>
        <v>390</v>
      </c>
      <c r="AK37" s="74">
        <f>'[1]All age Groups'!AP37</f>
        <v>347</v>
      </c>
      <c r="AL37" s="75">
        <f t="shared" si="0"/>
        <v>43043</v>
      </c>
      <c r="AM37" s="75">
        <f t="shared" si="0"/>
        <v>43390</v>
      </c>
      <c r="AN37" s="76">
        <f t="shared" si="1"/>
        <v>86433</v>
      </c>
    </row>
    <row r="38" spans="1:40" x14ac:dyDescent="0.5">
      <c r="A38" s="71" t="str">
        <f>'[1]All age Groups'!C38</f>
        <v xml:space="preserve">Hirshabelle  </v>
      </c>
      <c r="B38" s="72" t="str">
        <f>'[1]All age Groups'!D38</f>
        <v>Middle Shabelle</v>
      </c>
      <c r="C38" s="72" t="str">
        <f>'[1]All age Groups'!E38</f>
        <v>Jowhar</v>
      </c>
      <c r="D38" s="73">
        <f>'[1]All age Groups'!I38</f>
        <v>48526</v>
      </c>
      <c r="E38" s="74">
        <f>'[1]All age Groups'!J38</f>
        <v>51210</v>
      </c>
      <c r="F38" s="73">
        <f>'[1]All age Groups'!K38</f>
        <v>45843</v>
      </c>
      <c r="G38" s="74">
        <f>'[1]All age Groups'!L38</f>
        <v>45619</v>
      </c>
      <c r="H38" s="73">
        <f>'[1]All age Groups'!M38</f>
        <v>35332</v>
      </c>
      <c r="I38" s="74">
        <f>'[1]All age Groups'!N38</f>
        <v>32425</v>
      </c>
      <c r="J38" s="73">
        <f>'[1]All age Groups'!O38</f>
        <v>20350</v>
      </c>
      <c r="K38" s="74">
        <f>'[1]All age Groups'!P38</f>
        <v>19455</v>
      </c>
      <c r="L38" s="73">
        <f>'[1]All age Groups'!Q38</f>
        <v>10734</v>
      </c>
      <c r="M38" s="74">
        <f>'[1]All age Groups'!R38</f>
        <v>12970</v>
      </c>
      <c r="N38" s="73">
        <f>'[1]All age Groups'!S38</f>
        <v>10958</v>
      </c>
      <c r="O38" s="74">
        <f>'[1]All age Groups'!T38</f>
        <v>15654</v>
      </c>
      <c r="P38" s="73">
        <f>'[1]All age Groups'!U38</f>
        <v>10063</v>
      </c>
      <c r="Q38" s="74">
        <f>'[1]All age Groups'!V38</f>
        <v>9169</v>
      </c>
      <c r="R38" s="73">
        <f>'[1]All age Groups'!W38</f>
        <v>9169</v>
      </c>
      <c r="S38" s="74">
        <f>'[1]All age Groups'!X38</f>
        <v>8274</v>
      </c>
      <c r="T38" s="73">
        <f>'[1]All age Groups'!Y38</f>
        <v>5367</v>
      </c>
      <c r="U38" s="74">
        <f>'[1]All age Groups'!Z38</f>
        <v>5367</v>
      </c>
      <c r="V38" s="73">
        <f>'[1]All age Groups'!AA38</f>
        <v>4696</v>
      </c>
      <c r="W38" s="74">
        <f>'[1]All age Groups'!AB38</f>
        <v>2460</v>
      </c>
      <c r="X38" s="73">
        <f>'[1]All age Groups'!AC38</f>
        <v>7156</v>
      </c>
      <c r="Y38" s="74">
        <f>'[1]All age Groups'!AD38</f>
        <v>8274</v>
      </c>
      <c r="Z38" s="73">
        <f>'[1]All age Groups'!AE38</f>
        <v>3131</v>
      </c>
      <c r="AA38" s="74">
        <f>'[1]All age Groups'!AF38</f>
        <v>3354</v>
      </c>
      <c r="AB38" s="73">
        <f>'[1]All age Groups'!AG38</f>
        <v>4472</v>
      </c>
      <c r="AC38" s="74">
        <f>'[1]All age Groups'!AH38</f>
        <v>3578</v>
      </c>
      <c r="AD38" s="73">
        <f>'[1]All age Groups'!AI38</f>
        <v>1789</v>
      </c>
      <c r="AE38" s="74">
        <f>'[1]All age Groups'!AJ38</f>
        <v>1118</v>
      </c>
      <c r="AF38" s="73">
        <f>'[1]All age Groups'!AK38</f>
        <v>1565</v>
      </c>
      <c r="AG38" s="74">
        <f>'[1]All age Groups'!AL38</f>
        <v>2460</v>
      </c>
      <c r="AH38" s="73">
        <f>'[1]All age Groups'!AM38</f>
        <v>894</v>
      </c>
      <c r="AI38" s="74">
        <f>'[1]All age Groups'!AN38</f>
        <v>671</v>
      </c>
      <c r="AJ38" s="73">
        <f>'[1]All age Groups'!AO38</f>
        <v>2013</v>
      </c>
      <c r="AK38" s="74">
        <f>'[1]All age Groups'!AP38</f>
        <v>1789</v>
      </c>
      <c r="AL38" s="75">
        <f t="shared" si="0"/>
        <v>222058</v>
      </c>
      <c r="AM38" s="75">
        <f t="shared" si="0"/>
        <v>223847</v>
      </c>
      <c r="AN38" s="76">
        <f t="shared" si="1"/>
        <v>445905</v>
      </c>
    </row>
    <row r="39" spans="1:40" x14ac:dyDescent="0.5">
      <c r="A39" s="71" t="str">
        <f>'[1]All age Groups'!C39</f>
        <v xml:space="preserve">Jubaland  </v>
      </c>
      <c r="B39" s="72" t="str">
        <f>'[1]All age Groups'!D39</f>
        <v>Gedo</v>
      </c>
      <c r="C39" s="72" t="str">
        <f>'[1]All age Groups'!E39</f>
        <v>Baardheere</v>
      </c>
      <c r="D39" s="73">
        <f>'[1]All age Groups'!I39</f>
        <v>24227</v>
      </c>
      <c r="E39" s="74">
        <f>'[1]All age Groups'!J39</f>
        <v>22963</v>
      </c>
      <c r="F39" s="73">
        <f>'[1]All age Groups'!K39</f>
        <v>21699</v>
      </c>
      <c r="G39" s="74">
        <f>'[1]All age Groups'!L39</f>
        <v>20962</v>
      </c>
      <c r="H39" s="73">
        <f>'[1]All age Groups'!M39</f>
        <v>15906</v>
      </c>
      <c r="I39" s="74">
        <f>'[1]All age Groups'!N39</f>
        <v>16116</v>
      </c>
      <c r="J39" s="73">
        <f>'[1]All age Groups'!O39</f>
        <v>9270</v>
      </c>
      <c r="K39" s="74">
        <f>'[1]All age Groups'!P39</f>
        <v>9059</v>
      </c>
      <c r="L39" s="73">
        <f>'[1]All age Groups'!Q39</f>
        <v>4529</v>
      </c>
      <c r="M39" s="74">
        <f>'[1]All age Groups'!R39</f>
        <v>6847</v>
      </c>
      <c r="N39" s="73">
        <f>'[1]All age Groups'!S39</f>
        <v>5161</v>
      </c>
      <c r="O39" s="74">
        <f>'[1]All age Groups'!T39</f>
        <v>6741</v>
      </c>
      <c r="P39" s="73">
        <f>'[1]All age Groups'!U39</f>
        <v>4951</v>
      </c>
      <c r="Q39" s="74">
        <f>'[1]All age Groups'!V39</f>
        <v>5899</v>
      </c>
      <c r="R39" s="73">
        <f>'[1]All age Groups'!W39</f>
        <v>4003</v>
      </c>
      <c r="S39" s="74">
        <f>'[1]All age Groups'!X39</f>
        <v>4635</v>
      </c>
      <c r="T39" s="73">
        <f>'[1]All age Groups'!Y39</f>
        <v>4213</v>
      </c>
      <c r="U39" s="74">
        <f>'[1]All age Groups'!Z39</f>
        <v>2423</v>
      </c>
      <c r="V39" s="73">
        <f>'[1]All age Groups'!AA39</f>
        <v>2107</v>
      </c>
      <c r="W39" s="74">
        <f>'[1]All age Groups'!AB39</f>
        <v>1369</v>
      </c>
      <c r="X39" s="73">
        <f>'[1]All age Groups'!AC39</f>
        <v>3265</v>
      </c>
      <c r="Y39" s="74">
        <f>'[1]All age Groups'!AD39</f>
        <v>2739</v>
      </c>
      <c r="Z39" s="73">
        <f>'[1]All age Groups'!AE39</f>
        <v>1369</v>
      </c>
      <c r="AA39" s="74">
        <f>'[1]All age Groups'!AF39</f>
        <v>1475</v>
      </c>
      <c r="AB39" s="73">
        <f>'[1]All age Groups'!AG39</f>
        <v>1685</v>
      </c>
      <c r="AC39" s="74">
        <f>'[1]All age Groups'!AH39</f>
        <v>1475</v>
      </c>
      <c r="AD39" s="73">
        <f>'[1]All age Groups'!AI39</f>
        <v>632</v>
      </c>
      <c r="AE39" s="74">
        <f>'[1]All age Groups'!AJ39</f>
        <v>421</v>
      </c>
      <c r="AF39" s="73">
        <f>'[1]All age Groups'!AK39</f>
        <v>632</v>
      </c>
      <c r="AG39" s="74">
        <f>'[1]All age Groups'!AL39</f>
        <v>948</v>
      </c>
      <c r="AH39" s="73">
        <f>'[1]All age Groups'!AM39</f>
        <v>211</v>
      </c>
      <c r="AI39" s="74">
        <f>'[1]All age Groups'!AN39</f>
        <v>211</v>
      </c>
      <c r="AJ39" s="73">
        <f>'[1]All age Groups'!AO39</f>
        <v>737</v>
      </c>
      <c r="AK39" s="74">
        <f>'[1]All age Groups'!AP39</f>
        <v>1053</v>
      </c>
      <c r="AL39" s="75">
        <f t="shared" si="0"/>
        <v>104597</v>
      </c>
      <c r="AM39" s="75">
        <f t="shared" si="0"/>
        <v>105336</v>
      </c>
      <c r="AN39" s="76">
        <f t="shared" si="1"/>
        <v>209933</v>
      </c>
    </row>
    <row r="40" spans="1:40" x14ac:dyDescent="0.5">
      <c r="A40" s="71" t="str">
        <f>'[1]All age Groups'!C40</f>
        <v xml:space="preserve">Jubaland  </v>
      </c>
      <c r="B40" s="72" t="str">
        <f>'[1]All age Groups'!D40</f>
        <v>Gedo</v>
      </c>
      <c r="C40" s="72" t="str">
        <f>'[1]All age Groups'!E40</f>
        <v>Belet Xaawo</v>
      </c>
      <c r="D40" s="73">
        <f>'[1]All age Groups'!I40</f>
        <v>20614</v>
      </c>
      <c r="E40" s="74">
        <f>'[1]All age Groups'!J40</f>
        <v>19538</v>
      </c>
      <c r="F40" s="73">
        <f>'[1]All age Groups'!K40</f>
        <v>18463</v>
      </c>
      <c r="G40" s="74">
        <f>'[1]All age Groups'!L40</f>
        <v>17835</v>
      </c>
      <c r="H40" s="73">
        <f>'[1]All age Groups'!M40</f>
        <v>13533</v>
      </c>
      <c r="I40" s="74">
        <f>'[1]All age Groups'!N40</f>
        <v>13713</v>
      </c>
      <c r="J40" s="73">
        <f>'[1]All age Groups'!O40</f>
        <v>7887</v>
      </c>
      <c r="K40" s="74">
        <f>'[1]All age Groups'!P40</f>
        <v>7708</v>
      </c>
      <c r="L40" s="73">
        <f>'[1]All age Groups'!Q40</f>
        <v>3854</v>
      </c>
      <c r="M40" s="74">
        <f>'[1]All age Groups'!R40</f>
        <v>5826</v>
      </c>
      <c r="N40" s="73">
        <f>'[1]All age Groups'!S40</f>
        <v>4392</v>
      </c>
      <c r="O40" s="74">
        <f>'[1]All age Groups'!T40</f>
        <v>5736</v>
      </c>
      <c r="P40" s="73">
        <f>'[1]All age Groups'!U40</f>
        <v>4212</v>
      </c>
      <c r="Q40" s="74">
        <f>'[1]All age Groups'!V40</f>
        <v>5019</v>
      </c>
      <c r="R40" s="73">
        <f>'[1]All age Groups'!W40</f>
        <v>3406</v>
      </c>
      <c r="S40" s="74">
        <f>'[1]All age Groups'!X40</f>
        <v>3943</v>
      </c>
      <c r="T40" s="73">
        <f>'[1]All age Groups'!Y40</f>
        <v>3585</v>
      </c>
      <c r="U40" s="74">
        <f>'[1]All age Groups'!Z40</f>
        <v>2061</v>
      </c>
      <c r="V40" s="73">
        <f>'[1]All age Groups'!AA40</f>
        <v>1792</v>
      </c>
      <c r="W40" s="74">
        <f>'[1]All age Groups'!AB40</f>
        <v>1165</v>
      </c>
      <c r="X40" s="73">
        <f>'[1]All age Groups'!AC40</f>
        <v>2778</v>
      </c>
      <c r="Y40" s="74">
        <f>'[1]All age Groups'!AD40</f>
        <v>2330</v>
      </c>
      <c r="Z40" s="73">
        <f>'[1]All age Groups'!AE40</f>
        <v>1165</v>
      </c>
      <c r="AA40" s="74">
        <f>'[1]All age Groups'!AF40</f>
        <v>1255</v>
      </c>
      <c r="AB40" s="73">
        <f>'[1]All age Groups'!AG40</f>
        <v>1434</v>
      </c>
      <c r="AC40" s="74">
        <f>'[1]All age Groups'!AH40</f>
        <v>1255</v>
      </c>
      <c r="AD40" s="73">
        <f>'[1]All age Groups'!AI40</f>
        <v>538</v>
      </c>
      <c r="AE40" s="74">
        <f>'[1]All age Groups'!AJ40</f>
        <v>358</v>
      </c>
      <c r="AF40" s="73">
        <f>'[1]All age Groups'!AK40</f>
        <v>538</v>
      </c>
      <c r="AG40" s="74">
        <f>'[1]All age Groups'!AL40</f>
        <v>807</v>
      </c>
      <c r="AH40" s="73">
        <f>'[1]All age Groups'!AM40</f>
        <v>179</v>
      </c>
      <c r="AI40" s="74">
        <f>'[1]All age Groups'!AN40</f>
        <v>179</v>
      </c>
      <c r="AJ40" s="73">
        <f>'[1]All age Groups'!AO40</f>
        <v>627</v>
      </c>
      <c r="AK40" s="74">
        <f>'[1]All age Groups'!AP40</f>
        <v>896</v>
      </c>
      <c r="AL40" s="75">
        <f t="shared" si="0"/>
        <v>88997</v>
      </c>
      <c r="AM40" s="75">
        <f t="shared" si="0"/>
        <v>89624</v>
      </c>
      <c r="AN40" s="76">
        <f t="shared" si="1"/>
        <v>178621</v>
      </c>
    </row>
    <row r="41" spans="1:40" x14ac:dyDescent="0.5">
      <c r="A41" s="71" t="str">
        <f>'[1]All age Groups'!C41</f>
        <v xml:space="preserve">Jubaland  </v>
      </c>
      <c r="B41" s="72" t="str">
        <f>'[1]All age Groups'!D41</f>
        <v>Gedo</v>
      </c>
      <c r="C41" s="72" t="str">
        <f>'[1]All age Groups'!E41</f>
        <v>Ceel Waaq</v>
      </c>
      <c r="D41" s="73">
        <f>'[1]All age Groups'!I41</f>
        <v>12319</v>
      </c>
      <c r="E41" s="74">
        <f>'[1]All age Groups'!J41</f>
        <v>11677</v>
      </c>
      <c r="F41" s="73">
        <f>'[1]All age Groups'!K41</f>
        <v>11034</v>
      </c>
      <c r="G41" s="74">
        <f>'[1]All age Groups'!L41</f>
        <v>10659</v>
      </c>
      <c r="H41" s="73">
        <f>'[1]All age Groups'!M41</f>
        <v>8088</v>
      </c>
      <c r="I41" s="74">
        <f>'[1]All age Groups'!N41</f>
        <v>8195</v>
      </c>
      <c r="J41" s="73">
        <f>'[1]All age Groups'!O41</f>
        <v>4713</v>
      </c>
      <c r="K41" s="74">
        <f>'[1]All age Groups'!P41</f>
        <v>4606</v>
      </c>
      <c r="L41" s="73">
        <f>'[1]All age Groups'!Q41</f>
        <v>2303</v>
      </c>
      <c r="M41" s="74">
        <f>'[1]All age Groups'!R41</f>
        <v>3482</v>
      </c>
      <c r="N41" s="73">
        <f>'[1]All age Groups'!S41</f>
        <v>2625</v>
      </c>
      <c r="O41" s="74">
        <f>'[1]All age Groups'!T41</f>
        <v>3428</v>
      </c>
      <c r="P41" s="73">
        <f>'[1]All age Groups'!U41</f>
        <v>2517</v>
      </c>
      <c r="Q41" s="74">
        <f>'[1]All age Groups'!V41</f>
        <v>2999</v>
      </c>
      <c r="R41" s="73">
        <f>'[1]All age Groups'!W41</f>
        <v>2035</v>
      </c>
      <c r="S41" s="74">
        <f>'[1]All age Groups'!X41</f>
        <v>2357</v>
      </c>
      <c r="T41" s="73">
        <f>'[1]All age Groups'!Y41</f>
        <v>2142</v>
      </c>
      <c r="U41" s="74">
        <f>'[1]All age Groups'!Z41</f>
        <v>1232</v>
      </c>
      <c r="V41" s="73">
        <f>'[1]All age Groups'!AA41</f>
        <v>1071</v>
      </c>
      <c r="W41" s="74">
        <f>'[1]All age Groups'!AB41</f>
        <v>696</v>
      </c>
      <c r="X41" s="73">
        <f>'[1]All age Groups'!AC41</f>
        <v>1660</v>
      </c>
      <c r="Y41" s="74">
        <f>'[1]All age Groups'!AD41</f>
        <v>1393</v>
      </c>
      <c r="Z41" s="73">
        <f>'[1]All age Groups'!AE41</f>
        <v>696</v>
      </c>
      <c r="AA41" s="74">
        <f>'[1]All age Groups'!AF41</f>
        <v>750</v>
      </c>
      <c r="AB41" s="73">
        <f>'[1]All age Groups'!AG41</f>
        <v>857</v>
      </c>
      <c r="AC41" s="74">
        <f>'[1]All age Groups'!AH41</f>
        <v>750</v>
      </c>
      <c r="AD41" s="73">
        <f>'[1]All age Groups'!AI41</f>
        <v>321</v>
      </c>
      <c r="AE41" s="74">
        <f>'[1]All age Groups'!AJ41</f>
        <v>214</v>
      </c>
      <c r="AF41" s="73">
        <f>'[1]All age Groups'!AK41</f>
        <v>321</v>
      </c>
      <c r="AG41" s="74">
        <f>'[1]All age Groups'!AL41</f>
        <v>482</v>
      </c>
      <c r="AH41" s="73">
        <f>'[1]All age Groups'!AM41</f>
        <v>107</v>
      </c>
      <c r="AI41" s="74">
        <f>'[1]All age Groups'!AN41</f>
        <v>107</v>
      </c>
      <c r="AJ41" s="73">
        <f>'[1]All age Groups'!AO41</f>
        <v>375</v>
      </c>
      <c r="AK41" s="74">
        <f>'[1]All age Groups'!AP41</f>
        <v>536</v>
      </c>
      <c r="AL41" s="75">
        <f t="shared" si="0"/>
        <v>53184</v>
      </c>
      <c r="AM41" s="75">
        <f t="shared" si="0"/>
        <v>53563</v>
      </c>
      <c r="AN41" s="76">
        <f t="shared" si="1"/>
        <v>106747</v>
      </c>
    </row>
    <row r="42" spans="1:40" x14ac:dyDescent="0.5">
      <c r="A42" s="71" t="str">
        <f>'[1]All age Groups'!C42</f>
        <v xml:space="preserve">Jubaland  </v>
      </c>
      <c r="B42" s="72" t="str">
        <f>'[1]All age Groups'!D42</f>
        <v>Gedo</v>
      </c>
      <c r="C42" s="72" t="str">
        <f>'[1]All age Groups'!E42</f>
        <v>Doolow</v>
      </c>
      <c r="D42" s="73">
        <f>'[1]All age Groups'!I42</f>
        <v>24481</v>
      </c>
      <c r="E42" s="74">
        <f>'[1]All age Groups'!J42</f>
        <v>23204</v>
      </c>
      <c r="F42" s="73">
        <f>'[1]All age Groups'!K42</f>
        <v>21927</v>
      </c>
      <c r="G42" s="74">
        <f>'[1]All age Groups'!L42</f>
        <v>21181</v>
      </c>
      <c r="H42" s="73">
        <f>'[1]All age Groups'!M42</f>
        <v>16072</v>
      </c>
      <c r="I42" s="74">
        <f>'[1]All age Groups'!N42</f>
        <v>16285</v>
      </c>
      <c r="J42" s="73">
        <f>'[1]All age Groups'!O42</f>
        <v>9367</v>
      </c>
      <c r="K42" s="74">
        <f>'[1]All age Groups'!P42</f>
        <v>9154</v>
      </c>
      <c r="L42" s="73">
        <f>'[1]All age Groups'!Q42</f>
        <v>4577</v>
      </c>
      <c r="M42" s="74">
        <f>'[1]All age Groups'!R42</f>
        <v>6919</v>
      </c>
      <c r="N42" s="73">
        <f>'[1]All age Groups'!S42</f>
        <v>5216</v>
      </c>
      <c r="O42" s="74">
        <f>'[1]All age Groups'!T42</f>
        <v>6812</v>
      </c>
      <c r="P42" s="73">
        <f>'[1]All age Groups'!U42</f>
        <v>5003</v>
      </c>
      <c r="Q42" s="74">
        <f>'[1]All age Groups'!V42</f>
        <v>5961</v>
      </c>
      <c r="R42" s="73">
        <f>'[1]All age Groups'!W42</f>
        <v>4045</v>
      </c>
      <c r="S42" s="74">
        <f>'[1]All age Groups'!X42</f>
        <v>4683</v>
      </c>
      <c r="T42" s="73">
        <f>'[1]All age Groups'!Y42</f>
        <v>4258</v>
      </c>
      <c r="U42" s="74">
        <f>'[1]All age Groups'!Z42</f>
        <v>2448</v>
      </c>
      <c r="V42" s="73">
        <f>'[1]All age Groups'!AA42</f>
        <v>2129</v>
      </c>
      <c r="W42" s="74">
        <f>'[1]All age Groups'!AB42</f>
        <v>1384</v>
      </c>
      <c r="X42" s="73">
        <f>'[1]All age Groups'!AC42</f>
        <v>3300</v>
      </c>
      <c r="Y42" s="74">
        <f>'[1]All age Groups'!AD42</f>
        <v>2767</v>
      </c>
      <c r="Z42" s="73">
        <f>'[1]All age Groups'!AE42</f>
        <v>1384</v>
      </c>
      <c r="AA42" s="74">
        <f>'[1]All age Groups'!AF42</f>
        <v>1490</v>
      </c>
      <c r="AB42" s="73">
        <f>'[1]All age Groups'!AG42</f>
        <v>1703</v>
      </c>
      <c r="AC42" s="74">
        <f>'[1]All age Groups'!AH42</f>
        <v>1490</v>
      </c>
      <c r="AD42" s="73">
        <f>'[1]All age Groups'!AI42</f>
        <v>639</v>
      </c>
      <c r="AE42" s="74">
        <f>'[1]All age Groups'!AJ42</f>
        <v>426</v>
      </c>
      <c r="AF42" s="73">
        <f>'[1]All age Groups'!AK42</f>
        <v>639</v>
      </c>
      <c r="AG42" s="74">
        <f>'[1]All age Groups'!AL42</f>
        <v>958</v>
      </c>
      <c r="AH42" s="73">
        <f>'[1]All age Groups'!AM42</f>
        <v>213</v>
      </c>
      <c r="AI42" s="74">
        <f>'[1]All age Groups'!AN42</f>
        <v>213</v>
      </c>
      <c r="AJ42" s="73">
        <f>'[1]All age Groups'!AO42</f>
        <v>745</v>
      </c>
      <c r="AK42" s="74">
        <f>'[1]All age Groups'!AP42</f>
        <v>1064</v>
      </c>
      <c r="AL42" s="75">
        <f t="shared" si="0"/>
        <v>105698</v>
      </c>
      <c r="AM42" s="75">
        <f t="shared" si="0"/>
        <v>106439</v>
      </c>
      <c r="AN42" s="76">
        <f t="shared" si="1"/>
        <v>212137</v>
      </c>
    </row>
    <row r="43" spans="1:40" x14ac:dyDescent="0.5">
      <c r="A43" s="71" t="str">
        <f>'[1]All age Groups'!C43</f>
        <v xml:space="preserve">Jubaland  </v>
      </c>
      <c r="B43" s="72" t="str">
        <f>'[1]All age Groups'!D43</f>
        <v>Gedo</v>
      </c>
      <c r="C43" s="72" t="str">
        <f>'[1]All age Groups'!E43</f>
        <v>Garbahaarey</v>
      </c>
      <c r="D43" s="73">
        <f>'[1]All age Groups'!I43</f>
        <v>17638</v>
      </c>
      <c r="E43" s="74">
        <f>'[1]All age Groups'!J43</f>
        <v>16718</v>
      </c>
      <c r="F43" s="73">
        <f>'[1]All age Groups'!K43</f>
        <v>15798</v>
      </c>
      <c r="G43" s="74">
        <f>'[1]All age Groups'!L43</f>
        <v>15261</v>
      </c>
      <c r="H43" s="73">
        <f>'[1]All age Groups'!M43</f>
        <v>11580</v>
      </c>
      <c r="I43" s="74">
        <f>'[1]All age Groups'!N43</f>
        <v>11733</v>
      </c>
      <c r="J43" s="73">
        <f>'[1]All age Groups'!O43</f>
        <v>6749</v>
      </c>
      <c r="K43" s="74">
        <f>'[1]All age Groups'!P43</f>
        <v>6595</v>
      </c>
      <c r="L43" s="73">
        <f>'[1]All age Groups'!Q43</f>
        <v>3298</v>
      </c>
      <c r="M43" s="74">
        <f>'[1]All age Groups'!R43</f>
        <v>4985</v>
      </c>
      <c r="N43" s="73">
        <f>'[1]All age Groups'!S43</f>
        <v>3758</v>
      </c>
      <c r="O43" s="74">
        <f>'[1]All age Groups'!T43</f>
        <v>4908</v>
      </c>
      <c r="P43" s="73">
        <f>'[1]All age Groups'!U43</f>
        <v>3604</v>
      </c>
      <c r="Q43" s="74">
        <f>'[1]All age Groups'!V43</f>
        <v>4295</v>
      </c>
      <c r="R43" s="73">
        <f>'[1]All age Groups'!W43</f>
        <v>2914</v>
      </c>
      <c r="S43" s="74">
        <f>'[1]All age Groups'!X43</f>
        <v>3374</v>
      </c>
      <c r="T43" s="73">
        <f>'[1]All age Groups'!Y43</f>
        <v>3068</v>
      </c>
      <c r="U43" s="74">
        <f>'[1]All age Groups'!Z43</f>
        <v>1764</v>
      </c>
      <c r="V43" s="73">
        <f>'[1]All age Groups'!AA43</f>
        <v>1534</v>
      </c>
      <c r="W43" s="74">
        <f>'[1]All age Groups'!AB43</f>
        <v>997</v>
      </c>
      <c r="X43" s="73">
        <f>'[1]All age Groups'!AC43</f>
        <v>2377</v>
      </c>
      <c r="Y43" s="74">
        <f>'[1]All age Groups'!AD43</f>
        <v>1994</v>
      </c>
      <c r="Z43" s="73">
        <f>'[1]All age Groups'!AE43</f>
        <v>997</v>
      </c>
      <c r="AA43" s="74">
        <f>'[1]All age Groups'!AF43</f>
        <v>1074</v>
      </c>
      <c r="AB43" s="73">
        <f>'[1]All age Groups'!AG43</f>
        <v>1227</v>
      </c>
      <c r="AC43" s="74">
        <f>'[1]All age Groups'!AH43</f>
        <v>1074</v>
      </c>
      <c r="AD43" s="73">
        <f>'[1]All age Groups'!AI43</f>
        <v>460</v>
      </c>
      <c r="AE43" s="74">
        <f>'[1]All age Groups'!AJ43</f>
        <v>307</v>
      </c>
      <c r="AF43" s="73">
        <f>'[1]All age Groups'!AK43</f>
        <v>460</v>
      </c>
      <c r="AG43" s="74">
        <f>'[1]All age Groups'!AL43</f>
        <v>690</v>
      </c>
      <c r="AH43" s="73">
        <f>'[1]All age Groups'!AM43</f>
        <v>153</v>
      </c>
      <c r="AI43" s="74">
        <f>'[1]All age Groups'!AN43</f>
        <v>153</v>
      </c>
      <c r="AJ43" s="73">
        <f>'[1]All age Groups'!AO43</f>
        <v>537</v>
      </c>
      <c r="AK43" s="74">
        <f>'[1]All age Groups'!AP43</f>
        <v>767</v>
      </c>
      <c r="AL43" s="75">
        <f t="shared" si="0"/>
        <v>76152</v>
      </c>
      <c r="AM43" s="75">
        <f t="shared" si="0"/>
        <v>76689</v>
      </c>
      <c r="AN43" s="76">
        <f t="shared" si="1"/>
        <v>152841</v>
      </c>
    </row>
    <row r="44" spans="1:40" x14ac:dyDescent="0.5">
      <c r="A44" s="71" t="str">
        <f>'[1]All age Groups'!C44</f>
        <v xml:space="preserve">Jubaland  </v>
      </c>
      <c r="B44" s="72" t="str">
        <f>'[1]All age Groups'!D44</f>
        <v>Gedo</v>
      </c>
      <c r="C44" s="72" t="str">
        <f>'[1]All age Groups'!E44</f>
        <v>Luuq</v>
      </c>
      <c r="D44" s="73">
        <f>'[1]All age Groups'!I44</f>
        <v>16808</v>
      </c>
      <c r="E44" s="74">
        <f>'[1]All age Groups'!J44</f>
        <v>15931</v>
      </c>
      <c r="F44" s="73">
        <f>'[1]All age Groups'!K44</f>
        <v>15054</v>
      </c>
      <c r="G44" s="74">
        <f>'[1]All age Groups'!L44</f>
        <v>14543</v>
      </c>
      <c r="H44" s="73">
        <f>'[1]All age Groups'!M44</f>
        <v>11035</v>
      </c>
      <c r="I44" s="74">
        <f>'[1]All age Groups'!N44</f>
        <v>11181</v>
      </c>
      <c r="J44" s="73">
        <f>'[1]All age Groups'!O44</f>
        <v>6431</v>
      </c>
      <c r="K44" s="74">
        <f>'[1]All age Groups'!P44</f>
        <v>6285</v>
      </c>
      <c r="L44" s="73">
        <f>'[1]All age Groups'!Q44</f>
        <v>3142</v>
      </c>
      <c r="M44" s="74">
        <f>'[1]All age Groups'!R44</f>
        <v>4750</v>
      </c>
      <c r="N44" s="73">
        <f>'[1]All age Groups'!S44</f>
        <v>3581</v>
      </c>
      <c r="O44" s="74">
        <f>'[1]All age Groups'!T44</f>
        <v>4677</v>
      </c>
      <c r="P44" s="73">
        <f>'[1]All age Groups'!U44</f>
        <v>3435</v>
      </c>
      <c r="Q44" s="74">
        <f>'[1]All age Groups'!V44</f>
        <v>4092</v>
      </c>
      <c r="R44" s="73">
        <f>'[1]All age Groups'!W44</f>
        <v>2777</v>
      </c>
      <c r="S44" s="74">
        <f>'[1]All age Groups'!X44</f>
        <v>3216</v>
      </c>
      <c r="T44" s="73">
        <f>'[1]All age Groups'!Y44</f>
        <v>2923</v>
      </c>
      <c r="U44" s="74">
        <f>'[1]All age Groups'!Z44</f>
        <v>1681</v>
      </c>
      <c r="V44" s="73">
        <f>'[1]All age Groups'!AA44</f>
        <v>1462</v>
      </c>
      <c r="W44" s="74">
        <f>'[1]All age Groups'!AB44</f>
        <v>950</v>
      </c>
      <c r="X44" s="73">
        <f>'[1]All age Groups'!AC44</f>
        <v>2265</v>
      </c>
      <c r="Y44" s="74">
        <f>'[1]All age Groups'!AD44</f>
        <v>1900</v>
      </c>
      <c r="Z44" s="73">
        <f>'[1]All age Groups'!AE44</f>
        <v>950</v>
      </c>
      <c r="AA44" s="74">
        <f>'[1]All age Groups'!AF44</f>
        <v>1023</v>
      </c>
      <c r="AB44" s="73">
        <f>'[1]All age Groups'!AG44</f>
        <v>1169</v>
      </c>
      <c r="AC44" s="74">
        <f>'[1]All age Groups'!AH44</f>
        <v>1023</v>
      </c>
      <c r="AD44" s="73">
        <f>'[1]All age Groups'!AI44</f>
        <v>438</v>
      </c>
      <c r="AE44" s="74">
        <f>'[1]All age Groups'!AJ44</f>
        <v>292</v>
      </c>
      <c r="AF44" s="73">
        <f>'[1]All age Groups'!AK44</f>
        <v>438</v>
      </c>
      <c r="AG44" s="74">
        <f>'[1]All age Groups'!AL44</f>
        <v>658</v>
      </c>
      <c r="AH44" s="73">
        <f>'[1]All age Groups'!AM44</f>
        <v>146</v>
      </c>
      <c r="AI44" s="74">
        <f>'[1]All age Groups'!AN44</f>
        <v>146</v>
      </c>
      <c r="AJ44" s="73">
        <f>'[1]All age Groups'!AO44</f>
        <v>512</v>
      </c>
      <c r="AK44" s="74">
        <f>'[1]All age Groups'!AP44</f>
        <v>731</v>
      </c>
      <c r="AL44" s="75">
        <f t="shared" si="0"/>
        <v>72566</v>
      </c>
      <c r="AM44" s="75">
        <f t="shared" si="0"/>
        <v>73079</v>
      </c>
      <c r="AN44" s="76">
        <f t="shared" si="1"/>
        <v>145645</v>
      </c>
    </row>
    <row r="45" spans="1:40" x14ac:dyDescent="0.5">
      <c r="A45" s="71" t="str">
        <f>'[1]All age Groups'!C45</f>
        <v xml:space="preserve">Jubaland  </v>
      </c>
      <c r="B45" s="72" t="str">
        <f>'[1]All age Groups'!D45</f>
        <v>Lower Juba</v>
      </c>
      <c r="C45" s="72" t="str">
        <f>'[1]All age Groups'!E45</f>
        <v>Afmadow</v>
      </c>
      <c r="D45" s="73">
        <f>'[1]All age Groups'!I45</f>
        <v>32841</v>
      </c>
      <c r="E45" s="74">
        <f>'[1]All age Groups'!J45</f>
        <v>31128</v>
      </c>
      <c r="F45" s="73">
        <f>'[1]All age Groups'!K45</f>
        <v>29415</v>
      </c>
      <c r="G45" s="74">
        <f>'[1]All age Groups'!L45</f>
        <v>28415</v>
      </c>
      <c r="H45" s="73">
        <f>'[1]All age Groups'!M45</f>
        <v>21561</v>
      </c>
      <c r="I45" s="74">
        <f>'[1]All age Groups'!N45</f>
        <v>21847</v>
      </c>
      <c r="J45" s="73">
        <f>'[1]All age Groups'!O45</f>
        <v>12565</v>
      </c>
      <c r="K45" s="74">
        <f>'[1]All age Groups'!P45</f>
        <v>12280</v>
      </c>
      <c r="L45" s="73">
        <f>'[1]All age Groups'!Q45</f>
        <v>6140</v>
      </c>
      <c r="M45" s="74">
        <f>'[1]All age Groups'!R45</f>
        <v>9281</v>
      </c>
      <c r="N45" s="73">
        <f>'[1]All age Groups'!S45</f>
        <v>6997</v>
      </c>
      <c r="O45" s="74">
        <f>'[1]All age Groups'!T45</f>
        <v>9138</v>
      </c>
      <c r="P45" s="73">
        <f>'[1]All age Groups'!U45</f>
        <v>6711</v>
      </c>
      <c r="Q45" s="74">
        <f>'[1]All age Groups'!V45</f>
        <v>7996</v>
      </c>
      <c r="R45" s="73">
        <f>'[1]All age Groups'!W45</f>
        <v>5426</v>
      </c>
      <c r="S45" s="74">
        <f>'[1]All age Groups'!X45</f>
        <v>6283</v>
      </c>
      <c r="T45" s="73">
        <f>'[1]All age Groups'!Y45</f>
        <v>5712</v>
      </c>
      <c r="U45" s="74">
        <f>'[1]All age Groups'!Z45</f>
        <v>3284</v>
      </c>
      <c r="V45" s="73">
        <f>'[1]All age Groups'!AA45</f>
        <v>2856</v>
      </c>
      <c r="W45" s="74">
        <f>'[1]All age Groups'!AB45</f>
        <v>1856</v>
      </c>
      <c r="X45" s="73">
        <f>'[1]All age Groups'!AC45</f>
        <v>4426</v>
      </c>
      <c r="Y45" s="74">
        <f>'[1]All age Groups'!AD45</f>
        <v>3713</v>
      </c>
      <c r="Z45" s="73">
        <f>'[1]All age Groups'!AE45</f>
        <v>1856</v>
      </c>
      <c r="AA45" s="74">
        <f>'[1]All age Groups'!AF45</f>
        <v>1999</v>
      </c>
      <c r="AB45" s="73">
        <f>'[1]All age Groups'!AG45</f>
        <v>2285</v>
      </c>
      <c r="AC45" s="74">
        <f>'[1]All age Groups'!AH45</f>
        <v>1999</v>
      </c>
      <c r="AD45" s="73">
        <f>'[1]All age Groups'!AI45</f>
        <v>857</v>
      </c>
      <c r="AE45" s="74">
        <f>'[1]All age Groups'!AJ45</f>
        <v>571</v>
      </c>
      <c r="AF45" s="73">
        <f>'[1]All age Groups'!AK45</f>
        <v>857</v>
      </c>
      <c r="AG45" s="74">
        <f>'[1]All age Groups'!AL45</f>
        <v>1285</v>
      </c>
      <c r="AH45" s="73">
        <f>'[1]All age Groups'!AM45</f>
        <v>286</v>
      </c>
      <c r="AI45" s="74">
        <f>'[1]All age Groups'!AN45</f>
        <v>286</v>
      </c>
      <c r="AJ45" s="73">
        <f>'[1]All age Groups'!AO45</f>
        <v>1000</v>
      </c>
      <c r="AK45" s="74">
        <f>'[1]All age Groups'!AP45</f>
        <v>1428</v>
      </c>
      <c r="AL45" s="75">
        <f t="shared" si="0"/>
        <v>141791</v>
      </c>
      <c r="AM45" s="75">
        <f t="shared" si="0"/>
        <v>142789</v>
      </c>
      <c r="AN45" s="76">
        <f t="shared" si="1"/>
        <v>284580</v>
      </c>
    </row>
    <row r="46" spans="1:40" x14ac:dyDescent="0.5">
      <c r="A46" s="71" t="str">
        <f>'[1]All age Groups'!C46</f>
        <v xml:space="preserve">Jubaland  </v>
      </c>
      <c r="B46" s="72" t="str">
        <f>'[1]All age Groups'!D46</f>
        <v>Lower Juba</v>
      </c>
      <c r="C46" s="72" t="str">
        <f>'[1]All age Groups'!E46</f>
        <v>Badhaadhe</v>
      </c>
      <c r="D46" s="73">
        <f>'[1]All age Groups'!I46</f>
        <v>10036</v>
      </c>
      <c r="E46" s="74">
        <f>'[1]All age Groups'!J46</f>
        <v>9513</v>
      </c>
      <c r="F46" s="73">
        <f>'[1]All age Groups'!K46</f>
        <v>8989</v>
      </c>
      <c r="G46" s="74">
        <f>'[1]All age Groups'!L46</f>
        <v>8684</v>
      </c>
      <c r="H46" s="73">
        <f>'[1]All age Groups'!M46</f>
        <v>6589</v>
      </c>
      <c r="I46" s="74">
        <f>'[1]All age Groups'!N46</f>
        <v>6676</v>
      </c>
      <c r="J46" s="73">
        <f>'[1]All age Groups'!O46</f>
        <v>3840</v>
      </c>
      <c r="K46" s="74">
        <f>'[1]All age Groups'!P46</f>
        <v>3753</v>
      </c>
      <c r="L46" s="73">
        <f>'[1]All age Groups'!Q46</f>
        <v>1876</v>
      </c>
      <c r="M46" s="74">
        <f>'[1]All age Groups'!R46</f>
        <v>2836</v>
      </c>
      <c r="N46" s="73">
        <f>'[1]All age Groups'!S46</f>
        <v>2138</v>
      </c>
      <c r="O46" s="74">
        <f>'[1]All age Groups'!T46</f>
        <v>2793</v>
      </c>
      <c r="P46" s="73">
        <f>'[1]All age Groups'!U46</f>
        <v>2051</v>
      </c>
      <c r="Q46" s="74">
        <f>'[1]All age Groups'!V46</f>
        <v>2444</v>
      </c>
      <c r="R46" s="73">
        <f>'[1]All age Groups'!W46</f>
        <v>1658</v>
      </c>
      <c r="S46" s="74">
        <f>'[1]All age Groups'!X46</f>
        <v>1920</v>
      </c>
      <c r="T46" s="73">
        <f>'[1]All age Groups'!Y46</f>
        <v>1745</v>
      </c>
      <c r="U46" s="74">
        <f>'[1]All age Groups'!Z46</f>
        <v>1004</v>
      </c>
      <c r="V46" s="73">
        <f>'[1]All age Groups'!AA46</f>
        <v>873</v>
      </c>
      <c r="W46" s="74">
        <f>'[1]All age Groups'!AB46</f>
        <v>567</v>
      </c>
      <c r="X46" s="73">
        <f>'[1]All age Groups'!AC46</f>
        <v>1353</v>
      </c>
      <c r="Y46" s="74">
        <f>'[1]All age Groups'!AD46</f>
        <v>1135</v>
      </c>
      <c r="Z46" s="73">
        <f>'[1]All age Groups'!AE46</f>
        <v>567</v>
      </c>
      <c r="AA46" s="74">
        <f>'[1]All age Groups'!AF46</f>
        <v>611</v>
      </c>
      <c r="AB46" s="73">
        <f>'[1]All age Groups'!AG46</f>
        <v>698</v>
      </c>
      <c r="AC46" s="74">
        <f>'[1]All age Groups'!AH46</f>
        <v>611</v>
      </c>
      <c r="AD46" s="73">
        <f>'[1]All age Groups'!AI46</f>
        <v>262</v>
      </c>
      <c r="AE46" s="74">
        <f>'[1]All age Groups'!AJ46</f>
        <v>175</v>
      </c>
      <c r="AF46" s="73">
        <f>'[1]All age Groups'!AK46</f>
        <v>262</v>
      </c>
      <c r="AG46" s="74">
        <f>'[1]All age Groups'!AL46</f>
        <v>393</v>
      </c>
      <c r="AH46" s="73">
        <f>'[1]All age Groups'!AM46</f>
        <v>87</v>
      </c>
      <c r="AI46" s="74">
        <f>'[1]All age Groups'!AN46</f>
        <v>87</v>
      </c>
      <c r="AJ46" s="73">
        <f>'[1]All age Groups'!AO46</f>
        <v>305</v>
      </c>
      <c r="AK46" s="74">
        <f>'[1]All age Groups'!AP46</f>
        <v>436</v>
      </c>
      <c r="AL46" s="75">
        <f t="shared" si="0"/>
        <v>43329</v>
      </c>
      <c r="AM46" s="75">
        <f t="shared" si="0"/>
        <v>43638</v>
      </c>
      <c r="AN46" s="76">
        <f t="shared" si="1"/>
        <v>86967</v>
      </c>
    </row>
    <row r="47" spans="1:40" x14ac:dyDescent="0.5">
      <c r="A47" s="71" t="str">
        <f>'[1]All age Groups'!C47</f>
        <v xml:space="preserve">Jubaland  </v>
      </c>
      <c r="B47" s="72" t="str">
        <f>'[1]All age Groups'!D47</f>
        <v>Lower Juba</v>
      </c>
      <c r="C47" s="72" t="str">
        <f>'[1]All age Groups'!E47</f>
        <v>Jamaame</v>
      </c>
      <c r="D47" s="73">
        <f>'[1]All age Groups'!I47</f>
        <v>52235</v>
      </c>
      <c r="E47" s="74">
        <f>'[1]All age Groups'!J47</f>
        <v>49510</v>
      </c>
      <c r="F47" s="73">
        <f>'[1]All age Groups'!K47</f>
        <v>46784</v>
      </c>
      <c r="G47" s="74">
        <f>'[1]All age Groups'!L47</f>
        <v>45195</v>
      </c>
      <c r="H47" s="73">
        <f>'[1]All age Groups'!M47</f>
        <v>34293</v>
      </c>
      <c r="I47" s="74">
        <f>'[1]All age Groups'!N47</f>
        <v>34748</v>
      </c>
      <c r="J47" s="73">
        <f>'[1]All age Groups'!O47</f>
        <v>19986</v>
      </c>
      <c r="K47" s="74">
        <f>'[1]All age Groups'!P47</f>
        <v>19531</v>
      </c>
      <c r="L47" s="73">
        <f>'[1]All age Groups'!Q47</f>
        <v>9766</v>
      </c>
      <c r="M47" s="74">
        <f>'[1]All age Groups'!R47</f>
        <v>14762</v>
      </c>
      <c r="N47" s="73">
        <f>'[1]All age Groups'!S47</f>
        <v>11128</v>
      </c>
      <c r="O47" s="74">
        <f>'[1]All age Groups'!T47</f>
        <v>14535</v>
      </c>
      <c r="P47" s="73">
        <f>'[1]All age Groups'!U47</f>
        <v>10674</v>
      </c>
      <c r="Q47" s="74">
        <f>'[1]All age Groups'!V47</f>
        <v>12718</v>
      </c>
      <c r="R47" s="73">
        <f>'[1]All age Groups'!W47</f>
        <v>8630</v>
      </c>
      <c r="S47" s="74">
        <f>'[1]All age Groups'!X47</f>
        <v>9993</v>
      </c>
      <c r="T47" s="73">
        <f>'[1]All age Groups'!Y47</f>
        <v>9084</v>
      </c>
      <c r="U47" s="74">
        <f>'[1]All age Groups'!Z47</f>
        <v>5223</v>
      </c>
      <c r="V47" s="73">
        <f>'[1]All age Groups'!AA47</f>
        <v>4542</v>
      </c>
      <c r="W47" s="74">
        <f>'[1]All age Groups'!AB47</f>
        <v>2952</v>
      </c>
      <c r="X47" s="73">
        <f>'[1]All age Groups'!AC47</f>
        <v>7040</v>
      </c>
      <c r="Y47" s="74">
        <f>'[1]All age Groups'!AD47</f>
        <v>5905</v>
      </c>
      <c r="Z47" s="73">
        <f>'[1]All age Groups'!AE47</f>
        <v>2952</v>
      </c>
      <c r="AA47" s="74">
        <f>'[1]All age Groups'!AF47</f>
        <v>3180</v>
      </c>
      <c r="AB47" s="73">
        <f>'[1]All age Groups'!AG47</f>
        <v>3634</v>
      </c>
      <c r="AC47" s="74">
        <f>'[1]All age Groups'!AH47</f>
        <v>3180</v>
      </c>
      <c r="AD47" s="73">
        <f>'[1]All age Groups'!AI47</f>
        <v>1363</v>
      </c>
      <c r="AE47" s="74">
        <f>'[1]All age Groups'!AJ47</f>
        <v>908</v>
      </c>
      <c r="AF47" s="73">
        <f>'[1]All age Groups'!AK47</f>
        <v>1363</v>
      </c>
      <c r="AG47" s="74">
        <f>'[1]All age Groups'!AL47</f>
        <v>2044</v>
      </c>
      <c r="AH47" s="73">
        <f>'[1]All age Groups'!AM47</f>
        <v>454</v>
      </c>
      <c r="AI47" s="74">
        <f>'[1]All age Groups'!AN47</f>
        <v>454</v>
      </c>
      <c r="AJ47" s="73">
        <f>'[1]All age Groups'!AO47</f>
        <v>1590</v>
      </c>
      <c r="AK47" s="74">
        <f>'[1]All age Groups'!AP47</f>
        <v>2271</v>
      </c>
      <c r="AL47" s="75">
        <f t="shared" si="0"/>
        <v>225518</v>
      </c>
      <c r="AM47" s="75">
        <f t="shared" si="0"/>
        <v>227109</v>
      </c>
      <c r="AN47" s="76">
        <f t="shared" si="1"/>
        <v>452627</v>
      </c>
    </row>
    <row r="48" spans="1:40" x14ac:dyDescent="0.5">
      <c r="A48" s="71" t="str">
        <f>'[1]All age Groups'!C48</f>
        <v xml:space="preserve">Jubaland  </v>
      </c>
      <c r="B48" s="72" t="str">
        <f>'[1]All age Groups'!D48</f>
        <v>Lower Juba</v>
      </c>
      <c r="C48" s="72" t="str">
        <f>'[1]All age Groups'!E48</f>
        <v>Kismaayo</v>
      </c>
      <c r="D48" s="73">
        <f>'[1]All age Groups'!I48</f>
        <v>42711</v>
      </c>
      <c r="E48" s="74">
        <f>'[1]All age Groups'!J48</f>
        <v>40483</v>
      </c>
      <c r="F48" s="73">
        <f>'[1]All age Groups'!K48</f>
        <v>38255</v>
      </c>
      <c r="G48" s="74">
        <f>'[1]All age Groups'!L48</f>
        <v>36955</v>
      </c>
      <c r="H48" s="73">
        <f>'[1]All age Groups'!M48</f>
        <v>28041</v>
      </c>
      <c r="I48" s="74">
        <f>'[1]All age Groups'!N48</f>
        <v>28412</v>
      </c>
      <c r="J48" s="73">
        <f>'[1]All age Groups'!O48</f>
        <v>16342</v>
      </c>
      <c r="K48" s="74">
        <f>'[1]All age Groups'!P48</f>
        <v>15970</v>
      </c>
      <c r="L48" s="73">
        <f>'[1]All age Groups'!Q48</f>
        <v>7985</v>
      </c>
      <c r="M48" s="74">
        <f>'[1]All age Groups'!R48</f>
        <v>12071</v>
      </c>
      <c r="N48" s="73">
        <f>'[1]All age Groups'!S48</f>
        <v>9099</v>
      </c>
      <c r="O48" s="74">
        <f>'[1]All age Groups'!T48</f>
        <v>11885</v>
      </c>
      <c r="P48" s="73">
        <f>'[1]All age Groups'!U48</f>
        <v>8728</v>
      </c>
      <c r="Q48" s="74">
        <f>'[1]All age Groups'!V48</f>
        <v>10399</v>
      </c>
      <c r="R48" s="73">
        <f>'[1]All age Groups'!W48</f>
        <v>7057</v>
      </c>
      <c r="S48" s="74">
        <f>'[1]All age Groups'!X48</f>
        <v>8171</v>
      </c>
      <c r="T48" s="73">
        <f>'[1]All age Groups'!Y48</f>
        <v>7428</v>
      </c>
      <c r="U48" s="74">
        <f>'[1]All age Groups'!Z48</f>
        <v>4271</v>
      </c>
      <c r="V48" s="73">
        <f>'[1]All age Groups'!AA48</f>
        <v>3714</v>
      </c>
      <c r="W48" s="74">
        <f>'[1]All age Groups'!AB48</f>
        <v>2414</v>
      </c>
      <c r="X48" s="73">
        <f>'[1]All age Groups'!AC48</f>
        <v>5757</v>
      </c>
      <c r="Y48" s="74">
        <f>'[1]All age Groups'!AD48</f>
        <v>4828</v>
      </c>
      <c r="Z48" s="73">
        <f>'[1]All age Groups'!AE48</f>
        <v>2414</v>
      </c>
      <c r="AA48" s="74">
        <f>'[1]All age Groups'!AF48</f>
        <v>2600</v>
      </c>
      <c r="AB48" s="73">
        <f>'[1]All age Groups'!AG48</f>
        <v>2971</v>
      </c>
      <c r="AC48" s="74">
        <f>'[1]All age Groups'!AH48</f>
        <v>2600</v>
      </c>
      <c r="AD48" s="73">
        <f>'[1]All age Groups'!AI48</f>
        <v>1114</v>
      </c>
      <c r="AE48" s="74">
        <f>'[1]All age Groups'!AJ48</f>
        <v>743</v>
      </c>
      <c r="AF48" s="73">
        <f>'[1]All age Groups'!AK48</f>
        <v>1114</v>
      </c>
      <c r="AG48" s="74">
        <f>'[1]All age Groups'!AL48</f>
        <v>1671</v>
      </c>
      <c r="AH48" s="73">
        <f>'[1]All age Groups'!AM48</f>
        <v>371</v>
      </c>
      <c r="AI48" s="74">
        <f>'[1]All age Groups'!AN48</f>
        <v>371</v>
      </c>
      <c r="AJ48" s="73">
        <f>'[1]All age Groups'!AO48</f>
        <v>1300</v>
      </c>
      <c r="AK48" s="74">
        <f>'[1]All age Groups'!AP48</f>
        <v>1857</v>
      </c>
      <c r="AL48" s="75">
        <f t="shared" si="0"/>
        <v>184401</v>
      </c>
      <c r="AM48" s="75">
        <f t="shared" si="0"/>
        <v>185701</v>
      </c>
      <c r="AN48" s="76">
        <f t="shared" si="1"/>
        <v>370102</v>
      </c>
    </row>
    <row r="49" spans="1:40" x14ac:dyDescent="0.5">
      <c r="A49" s="71" t="str">
        <f>'[1]All age Groups'!C49</f>
        <v xml:space="preserve">Jubaland  </v>
      </c>
      <c r="B49" s="72" t="str">
        <f>'[1]All age Groups'!D49</f>
        <v>Middle Juba</v>
      </c>
      <c r="C49" s="72" t="str">
        <f>'[1]All age Groups'!E49</f>
        <v>Bu'aale</v>
      </c>
      <c r="D49" s="73">
        <f>'[1]All age Groups'!I49</f>
        <v>17770</v>
      </c>
      <c r="E49" s="74">
        <f>'[1]All age Groups'!J49</f>
        <v>16843</v>
      </c>
      <c r="F49" s="73">
        <f>'[1]All age Groups'!K49</f>
        <v>15916</v>
      </c>
      <c r="G49" s="74">
        <f>'[1]All age Groups'!L49</f>
        <v>15375</v>
      </c>
      <c r="H49" s="73">
        <f>'[1]All age Groups'!M49</f>
        <v>11667</v>
      </c>
      <c r="I49" s="74">
        <f>'[1]All age Groups'!N49</f>
        <v>11821</v>
      </c>
      <c r="J49" s="73">
        <f>'[1]All age Groups'!O49</f>
        <v>6799</v>
      </c>
      <c r="K49" s="74">
        <f>'[1]All age Groups'!P49</f>
        <v>6645</v>
      </c>
      <c r="L49" s="73">
        <f>'[1]All age Groups'!Q49</f>
        <v>3322</v>
      </c>
      <c r="M49" s="74">
        <f>'[1]All age Groups'!R49</f>
        <v>5022</v>
      </c>
      <c r="N49" s="73">
        <f>'[1]All age Groups'!S49</f>
        <v>3786</v>
      </c>
      <c r="O49" s="74">
        <f>'[1]All age Groups'!T49</f>
        <v>4945</v>
      </c>
      <c r="P49" s="73">
        <f>'[1]All age Groups'!U49</f>
        <v>3631</v>
      </c>
      <c r="Q49" s="74">
        <f>'[1]All age Groups'!V49</f>
        <v>4327</v>
      </c>
      <c r="R49" s="73">
        <f>'[1]All age Groups'!W49</f>
        <v>2936</v>
      </c>
      <c r="S49" s="74">
        <f>'[1]All age Groups'!X49</f>
        <v>3400</v>
      </c>
      <c r="T49" s="73">
        <f>'[1]All age Groups'!Y49</f>
        <v>3090</v>
      </c>
      <c r="U49" s="74">
        <f>'[1]All age Groups'!Z49</f>
        <v>1777</v>
      </c>
      <c r="V49" s="73">
        <f>'[1]All age Groups'!AA49</f>
        <v>1545</v>
      </c>
      <c r="W49" s="74">
        <f>'[1]All age Groups'!AB49</f>
        <v>1004</v>
      </c>
      <c r="X49" s="73">
        <f>'[1]All age Groups'!AC49</f>
        <v>2395</v>
      </c>
      <c r="Y49" s="74">
        <f>'[1]All age Groups'!AD49</f>
        <v>2009</v>
      </c>
      <c r="Z49" s="73">
        <f>'[1]All age Groups'!AE49</f>
        <v>1004</v>
      </c>
      <c r="AA49" s="74">
        <f>'[1]All age Groups'!AF49</f>
        <v>1082</v>
      </c>
      <c r="AB49" s="73">
        <f>'[1]All age Groups'!AG49</f>
        <v>1236</v>
      </c>
      <c r="AC49" s="74">
        <f>'[1]All age Groups'!AH49</f>
        <v>1082</v>
      </c>
      <c r="AD49" s="73">
        <f>'[1]All age Groups'!AI49</f>
        <v>464</v>
      </c>
      <c r="AE49" s="74">
        <f>'[1]All age Groups'!AJ49</f>
        <v>309</v>
      </c>
      <c r="AF49" s="73">
        <f>'[1]All age Groups'!AK49</f>
        <v>464</v>
      </c>
      <c r="AG49" s="74">
        <f>'[1]All age Groups'!AL49</f>
        <v>695</v>
      </c>
      <c r="AH49" s="73">
        <f>'[1]All age Groups'!AM49</f>
        <v>155</v>
      </c>
      <c r="AI49" s="74">
        <f>'[1]All age Groups'!AN49</f>
        <v>155</v>
      </c>
      <c r="AJ49" s="73">
        <f>'[1]All age Groups'!AO49</f>
        <v>541</v>
      </c>
      <c r="AK49" s="74">
        <f>'[1]All age Groups'!AP49</f>
        <v>773</v>
      </c>
      <c r="AL49" s="75">
        <f t="shared" si="0"/>
        <v>76721</v>
      </c>
      <c r="AM49" s="75">
        <f t="shared" si="0"/>
        <v>77264</v>
      </c>
      <c r="AN49" s="76">
        <f t="shared" si="1"/>
        <v>153985</v>
      </c>
    </row>
    <row r="50" spans="1:40" x14ac:dyDescent="0.5">
      <c r="A50" s="71" t="str">
        <f>'[1]All age Groups'!C50</f>
        <v xml:space="preserve">Jubaland  </v>
      </c>
      <c r="B50" s="72" t="str">
        <f>'[1]All age Groups'!D50</f>
        <v>Middle Juba</v>
      </c>
      <c r="C50" s="72" t="str">
        <f>'[1]All age Groups'!E50</f>
        <v>Jilib</v>
      </c>
      <c r="D50" s="73">
        <f>'[1]All age Groups'!I50</f>
        <v>20101</v>
      </c>
      <c r="E50" s="74">
        <f>'[1]All age Groups'!J50</f>
        <v>19053</v>
      </c>
      <c r="F50" s="73">
        <f>'[1]All age Groups'!K50</f>
        <v>18004</v>
      </c>
      <c r="G50" s="74">
        <f>'[1]All age Groups'!L50</f>
        <v>17392</v>
      </c>
      <c r="H50" s="73">
        <f>'[1]All age Groups'!M50</f>
        <v>13197</v>
      </c>
      <c r="I50" s="74">
        <f>'[1]All age Groups'!N50</f>
        <v>13372</v>
      </c>
      <c r="J50" s="73">
        <f>'[1]All age Groups'!O50</f>
        <v>7691</v>
      </c>
      <c r="K50" s="74">
        <f>'[1]All age Groups'!P50</f>
        <v>7516</v>
      </c>
      <c r="L50" s="73">
        <f>'[1]All age Groups'!Q50</f>
        <v>3758</v>
      </c>
      <c r="M50" s="74">
        <f>'[1]All age Groups'!R50</f>
        <v>5681</v>
      </c>
      <c r="N50" s="73">
        <f>'[1]All age Groups'!S50</f>
        <v>4282</v>
      </c>
      <c r="O50" s="74">
        <f>'[1]All age Groups'!T50</f>
        <v>5593</v>
      </c>
      <c r="P50" s="73">
        <f>'[1]All age Groups'!U50</f>
        <v>4108</v>
      </c>
      <c r="Q50" s="74">
        <f>'[1]All age Groups'!V50</f>
        <v>4894</v>
      </c>
      <c r="R50" s="73">
        <f>'[1]All age Groups'!W50</f>
        <v>3321</v>
      </c>
      <c r="S50" s="74">
        <f>'[1]All age Groups'!X50</f>
        <v>3845</v>
      </c>
      <c r="T50" s="73">
        <f>'[1]All age Groups'!Y50</f>
        <v>3496</v>
      </c>
      <c r="U50" s="74">
        <f>'[1]All age Groups'!Z50</f>
        <v>2010</v>
      </c>
      <c r="V50" s="73">
        <f>'[1]All age Groups'!AA50</f>
        <v>1748</v>
      </c>
      <c r="W50" s="74">
        <f>'[1]All age Groups'!AB50</f>
        <v>1136</v>
      </c>
      <c r="X50" s="73">
        <f>'[1]All age Groups'!AC50</f>
        <v>2709</v>
      </c>
      <c r="Y50" s="74">
        <f>'[1]All age Groups'!AD50</f>
        <v>2272</v>
      </c>
      <c r="Z50" s="73">
        <f>'[1]All age Groups'!AE50</f>
        <v>1136</v>
      </c>
      <c r="AA50" s="74">
        <f>'[1]All age Groups'!AF50</f>
        <v>1224</v>
      </c>
      <c r="AB50" s="73">
        <f>'[1]All age Groups'!AG50</f>
        <v>1398</v>
      </c>
      <c r="AC50" s="74">
        <f>'[1]All age Groups'!AH50</f>
        <v>1224</v>
      </c>
      <c r="AD50" s="73">
        <f>'[1]All age Groups'!AI50</f>
        <v>524</v>
      </c>
      <c r="AE50" s="74">
        <f>'[1]All age Groups'!AJ50</f>
        <v>350</v>
      </c>
      <c r="AF50" s="73">
        <f>'[1]All age Groups'!AK50</f>
        <v>524</v>
      </c>
      <c r="AG50" s="74">
        <f>'[1]All age Groups'!AL50</f>
        <v>787</v>
      </c>
      <c r="AH50" s="73">
        <f>'[1]All age Groups'!AM50</f>
        <v>175</v>
      </c>
      <c r="AI50" s="74">
        <f>'[1]All age Groups'!AN50</f>
        <v>175</v>
      </c>
      <c r="AJ50" s="73">
        <f>'[1]All age Groups'!AO50</f>
        <v>612</v>
      </c>
      <c r="AK50" s="74">
        <f>'[1]All age Groups'!AP50</f>
        <v>874</v>
      </c>
      <c r="AL50" s="75">
        <f t="shared" si="0"/>
        <v>86784</v>
      </c>
      <c r="AM50" s="75">
        <f t="shared" si="0"/>
        <v>87398</v>
      </c>
      <c r="AN50" s="76">
        <f t="shared" si="1"/>
        <v>174182</v>
      </c>
    </row>
    <row r="51" spans="1:40" x14ac:dyDescent="0.5">
      <c r="A51" s="71" t="str">
        <f>'[1]All age Groups'!C51</f>
        <v xml:space="preserve">Jubaland  </v>
      </c>
      <c r="B51" s="72" t="str">
        <f>'[1]All age Groups'!D51</f>
        <v>Middle Juba</v>
      </c>
      <c r="C51" s="72" t="str">
        <f>'[1]All age Groups'!E51</f>
        <v>Saakow</v>
      </c>
      <c r="D51" s="73">
        <f>'[1]All age Groups'!I51</f>
        <v>13311</v>
      </c>
      <c r="E51" s="74">
        <f>'[1]All age Groups'!J51</f>
        <v>12616</v>
      </c>
      <c r="F51" s="73">
        <f>'[1]All age Groups'!K51</f>
        <v>11922</v>
      </c>
      <c r="G51" s="74">
        <f>'[1]All age Groups'!L51</f>
        <v>11517</v>
      </c>
      <c r="H51" s="73">
        <f>'[1]All age Groups'!M51</f>
        <v>8739</v>
      </c>
      <c r="I51" s="74">
        <f>'[1]All age Groups'!N51</f>
        <v>8854</v>
      </c>
      <c r="J51" s="73">
        <f>'[1]All age Groups'!O51</f>
        <v>5093</v>
      </c>
      <c r="K51" s="74">
        <f>'[1]All age Groups'!P51</f>
        <v>4977</v>
      </c>
      <c r="L51" s="73">
        <f>'[1]All age Groups'!Q51</f>
        <v>2489</v>
      </c>
      <c r="M51" s="74">
        <f>'[1]All age Groups'!R51</f>
        <v>3762</v>
      </c>
      <c r="N51" s="73">
        <f>'[1]All age Groups'!S51</f>
        <v>2836</v>
      </c>
      <c r="O51" s="74">
        <f>'[1]All age Groups'!T51</f>
        <v>3704</v>
      </c>
      <c r="P51" s="73">
        <f>'[1]All age Groups'!U51</f>
        <v>2720</v>
      </c>
      <c r="Q51" s="74">
        <f>'[1]All age Groups'!V51</f>
        <v>3241</v>
      </c>
      <c r="R51" s="73">
        <f>'[1]All age Groups'!W51</f>
        <v>2199</v>
      </c>
      <c r="S51" s="74">
        <f>'[1]All age Groups'!X51</f>
        <v>2546</v>
      </c>
      <c r="T51" s="73">
        <f>'[1]All age Groups'!Y51</f>
        <v>2315</v>
      </c>
      <c r="U51" s="74">
        <f>'[1]All age Groups'!Z51</f>
        <v>1331</v>
      </c>
      <c r="V51" s="73">
        <f>'[1]All age Groups'!AA51</f>
        <v>1157</v>
      </c>
      <c r="W51" s="74">
        <f>'[1]All age Groups'!AB51</f>
        <v>752</v>
      </c>
      <c r="X51" s="73">
        <f>'[1]All age Groups'!AC51</f>
        <v>1794</v>
      </c>
      <c r="Y51" s="74">
        <f>'[1]All age Groups'!AD51</f>
        <v>1505</v>
      </c>
      <c r="Z51" s="73">
        <f>'[1]All age Groups'!AE51</f>
        <v>752</v>
      </c>
      <c r="AA51" s="74">
        <f>'[1]All age Groups'!AF51</f>
        <v>810</v>
      </c>
      <c r="AB51" s="73">
        <f>'[1]All age Groups'!AG51</f>
        <v>926</v>
      </c>
      <c r="AC51" s="74">
        <f>'[1]All age Groups'!AH51</f>
        <v>810</v>
      </c>
      <c r="AD51" s="73">
        <f>'[1]All age Groups'!AI51</f>
        <v>347</v>
      </c>
      <c r="AE51" s="74">
        <f>'[1]All age Groups'!AJ51</f>
        <v>231</v>
      </c>
      <c r="AF51" s="73">
        <f>'[1]All age Groups'!AK51</f>
        <v>347</v>
      </c>
      <c r="AG51" s="74">
        <f>'[1]All age Groups'!AL51</f>
        <v>521</v>
      </c>
      <c r="AH51" s="73">
        <f>'[1]All age Groups'!AM51</f>
        <v>116</v>
      </c>
      <c r="AI51" s="74">
        <f>'[1]All age Groups'!AN51</f>
        <v>116</v>
      </c>
      <c r="AJ51" s="73">
        <f>'[1]All age Groups'!AO51</f>
        <v>405</v>
      </c>
      <c r="AK51" s="74">
        <f>'[1]All age Groups'!AP51</f>
        <v>579</v>
      </c>
      <c r="AL51" s="75">
        <f t="shared" si="0"/>
        <v>57468</v>
      </c>
      <c r="AM51" s="75">
        <f t="shared" si="0"/>
        <v>57872</v>
      </c>
      <c r="AN51" s="76">
        <f t="shared" si="1"/>
        <v>115340</v>
      </c>
    </row>
    <row r="52" spans="1:40" x14ac:dyDescent="0.5">
      <c r="A52" s="71" t="str">
        <f>'[1]All age Groups'!C52</f>
        <v xml:space="preserve">Puntland  </v>
      </c>
      <c r="B52" s="72" t="str">
        <f>'[1]All age Groups'!D52</f>
        <v>Bari</v>
      </c>
      <c r="C52" s="72" t="str">
        <f>'[1]All age Groups'!E52</f>
        <v>Bandarbeyla</v>
      </c>
      <c r="D52" s="73">
        <f>'[1]All age Groups'!I52</f>
        <v>5570</v>
      </c>
      <c r="E52" s="74">
        <f>'[1]All age Groups'!J52</f>
        <v>4871</v>
      </c>
      <c r="F52" s="73">
        <f>'[1]All age Groups'!K52</f>
        <v>5441</v>
      </c>
      <c r="G52" s="74">
        <f>'[1]All age Groups'!L52</f>
        <v>4715</v>
      </c>
      <c r="H52" s="73">
        <f>'[1]All age Groups'!M52</f>
        <v>3964</v>
      </c>
      <c r="I52" s="74">
        <f>'[1]All age Groups'!N52</f>
        <v>3757</v>
      </c>
      <c r="J52" s="73">
        <f>'[1]All age Groups'!O52</f>
        <v>2591</v>
      </c>
      <c r="K52" s="74">
        <f>'[1]All age Groups'!P52</f>
        <v>3057</v>
      </c>
      <c r="L52" s="73">
        <f>'[1]All age Groups'!Q52</f>
        <v>1347</v>
      </c>
      <c r="M52" s="74">
        <f>'[1]All age Groups'!R52</f>
        <v>1736</v>
      </c>
      <c r="N52" s="73">
        <f>'[1]All age Groups'!S52</f>
        <v>1088</v>
      </c>
      <c r="O52" s="74">
        <f>'[1]All age Groups'!T52</f>
        <v>1788</v>
      </c>
      <c r="P52" s="73">
        <f>'[1]All age Groups'!U52</f>
        <v>1166</v>
      </c>
      <c r="Q52" s="74">
        <f>'[1]All age Groups'!V52</f>
        <v>1399</v>
      </c>
      <c r="R52" s="73">
        <f>'[1]All age Groups'!W52</f>
        <v>907</v>
      </c>
      <c r="S52" s="74">
        <f>'[1]All age Groups'!X52</f>
        <v>1166</v>
      </c>
      <c r="T52" s="73">
        <f>'[1]All age Groups'!Y52</f>
        <v>1062</v>
      </c>
      <c r="U52" s="74">
        <f>'[1]All age Groups'!Z52</f>
        <v>648</v>
      </c>
      <c r="V52" s="73">
        <f>'[1]All age Groups'!AA52</f>
        <v>492</v>
      </c>
      <c r="W52" s="74">
        <f>'[1]All age Groups'!AB52</f>
        <v>337</v>
      </c>
      <c r="X52" s="73">
        <f>'[1]All age Groups'!AC52</f>
        <v>674</v>
      </c>
      <c r="Y52" s="74">
        <f>'[1]All age Groups'!AD52</f>
        <v>881</v>
      </c>
      <c r="Z52" s="73">
        <f>'[1]All age Groups'!AE52</f>
        <v>285</v>
      </c>
      <c r="AA52" s="74">
        <f>'[1]All age Groups'!AF52</f>
        <v>311</v>
      </c>
      <c r="AB52" s="73">
        <f>'[1]All age Groups'!AG52</f>
        <v>466</v>
      </c>
      <c r="AC52" s="74">
        <f>'[1]All age Groups'!AH52</f>
        <v>440</v>
      </c>
      <c r="AD52" s="73">
        <f>'[1]All age Groups'!AI52</f>
        <v>104</v>
      </c>
      <c r="AE52" s="74">
        <f>'[1]All age Groups'!AJ52</f>
        <v>155</v>
      </c>
      <c r="AF52" s="73">
        <f>'[1]All age Groups'!AK52</f>
        <v>259</v>
      </c>
      <c r="AG52" s="74">
        <f>'[1]All age Groups'!AL52</f>
        <v>285</v>
      </c>
      <c r="AH52" s="73">
        <f>'[1]All age Groups'!AM52</f>
        <v>52</v>
      </c>
      <c r="AI52" s="74">
        <f>'[1]All age Groups'!AN52</f>
        <v>78</v>
      </c>
      <c r="AJ52" s="73">
        <f>'[1]All age Groups'!AO52</f>
        <v>311</v>
      </c>
      <c r="AK52" s="74">
        <f>'[1]All age Groups'!AP52</f>
        <v>311</v>
      </c>
      <c r="AL52" s="75">
        <f t="shared" si="0"/>
        <v>25779</v>
      </c>
      <c r="AM52" s="75">
        <f t="shared" si="0"/>
        <v>25935</v>
      </c>
      <c r="AN52" s="76">
        <f t="shared" si="1"/>
        <v>51714</v>
      </c>
    </row>
    <row r="53" spans="1:40" x14ac:dyDescent="0.5">
      <c r="A53" s="71" t="str">
        <f>'[1]All age Groups'!C53</f>
        <v xml:space="preserve">Puntland  </v>
      </c>
      <c r="B53" s="72" t="str">
        <f>'[1]All age Groups'!D53</f>
        <v>Bari</v>
      </c>
      <c r="C53" s="72" t="str">
        <f>'[1]All age Groups'!E53</f>
        <v>Bossaso</v>
      </c>
      <c r="D53" s="73">
        <f>'[1]All age Groups'!I53</f>
        <v>88128</v>
      </c>
      <c r="E53" s="74">
        <f>'[1]All age Groups'!J53</f>
        <v>77061</v>
      </c>
      <c r="F53" s="73">
        <f>'[1]All age Groups'!K53</f>
        <v>86079</v>
      </c>
      <c r="G53" s="74">
        <f>'[1]All age Groups'!L53</f>
        <v>74602</v>
      </c>
      <c r="H53" s="73">
        <f>'[1]All age Groups'!M53</f>
        <v>62714</v>
      </c>
      <c r="I53" s="74">
        <f>'[1]All age Groups'!N53</f>
        <v>59435</v>
      </c>
      <c r="J53" s="73">
        <f>'[1]All age Groups'!O53</f>
        <v>40990</v>
      </c>
      <c r="K53" s="74">
        <f>'[1]All age Groups'!P53</f>
        <v>48368</v>
      </c>
      <c r="L53" s="73">
        <f>'[1]All age Groups'!Q53</f>
        <v>21315</v>
      </c>
      <c r="M53" s="74">
        <f>'[1]All age Groups'!R53</f>
        <v>27463</v>
      </c>
      <c r="N53" s="73">
        <f>'[1]All age Groups'!S53</f>
        <v>17216</v>
      </c>
      <c r="O53" s="74">
        <f>'[1]All age Groups'!T53</f>
        <v>28283</v>
      </c>
      <c r="P53" s="73">
        <f>'[1]All age Groups'!U53</f>
        <v>18445</v>
      </c>
      <c r="Q53" s="74">
        <f>'[1]All age Groups'!V53</f>
        <v>22135</v>
      </c>
      <c r="R53" s="73">
        <f>'[1]All age Groups'!W53</f>
        <v>14346</v>
      </c>
      <c r="S53" s="74">
        <f>'[1]All age Groups'!X53</f>
        <v>18445</v>
      </c>
      <c r="T53" s="73">
        <f>'[1]All age Groups'!Y53</f>
        <v>16806</v>
      </c>
      <c r="U53" s="74">
        <f>'[1]All age Groups'!Z53</f>
        <v>10247</v>
      </c>
      <c r="V53" s="73">
        <f>'[1]All age Groups'!AA53</f>
        <v>7788</v>
      </c>
      <c r="W53" s="74">
        <f>'[1]All age Groups'!AB53</f>
        <v>5329</v>
      </c>
      <c r="X53" s="73">
        <f>'[1]All age Groups'!AC53</f>
        <v>10657</v>
      </c>
      <c r="Y53" s="74">
        <f>'[1]All age Groups'!AD53</f>
        <v>13937</v>
      </c>
      <c r="Z53" s="73">
        <f>'[1]All age Groups'!AE53</f>
        <v>4509</v>
      </c>
      <c r="AA53" s="74">
        <f>'[1]All age Groups'!AF53</f>
        <v>4919</v>
      </c>
      <c r="AB53" s="73">
        <f>'[1]All age Groups'!AG53</f>
        <v>7378</v>
      </c>
      <c r="AC53" s="74">
        <f>'[1]All age Groups'!AH53</f>
        <v>6968</v>
      </c>
      <c r="AD53" s="73">
        <f>'[1]All age Groups'!AI53</f>
        <v>1640</v>
      </c>
      <c r="AE53" s="74">
        <f>'[1]All age Groups'!AJ53</f>
        <v>2459</v>
      </c>
      <c r="AF53" s="73">
        <f>'[1]All age Groups'!AK53</f>
        <v>4099</v>
      </c>
      <c r="AG53" s="74">
        <f>'[1]All age Groups'!AL53</f>
        <v>4509</v>
      </c>
      <c r="AH53" s="73">
        <f>'[1]All age Groups'!AM53</f>
        <v>820</v>
      </c>
      <c r="AI53" s="74">
        <f>'[1]All age Groups'!AN53</f>
        <v>1230</v>
      </c>
      <c r="AJ53" s="73">
        <f>'[1]All age Groups'!AO53</f>
        <v>4919</v>
      </c>
      <c r="AK53" s="74">
        <f>'[1]All age Groups'!AP53</f>
        <v>4919</v>
      </c>
      <c r="AL53" s="75">
        <f t="shared" si="0"/>
        <v>407849</v>
      </c>
      <c r="AM53" s="75">
        <f t="shared" si="0"/>
        <v>410309</v>
      </c>
      <c r="AN53" s="76">
        <f t="shared" si="1"/>
        <v>818158</v>
      </c>
    </row>
    <row r="54" spans="1:40" x14ac:dyDescent="0.5">
      <c r="A54" s="71" t="str">
        <f>'[1]All age Groups'!C54</f>
        <v xml:space="preserve">Puntland  </v>
      </c>
      <c r="B54" s="72" t="str">
        <f>'[1]All age Groups'!D54</f>
        <v>Bari</v>
      </c>
      <c r="C54" s="72" t="str">
        <f>'[1]All age Groups'!E54</f>
        <v>Caluula</v>
      </c>
      <c r="D54" s="73">
        <f>'[1]All age Groups'!I54</f>
        <v>10612</v>
      </c>
      <c r="E54" s="74">
        <f>'[1]All age Groups'!J54</f>
        <v>9279</v>
      </c>
      <c r="F54" s="73">
        <f>'[1]All age Groups'!K54</f>
        <v>10365</v>
      </c>
      <c r="G54" s="74">
        <f>'[1]All age Groups'!L54</f>
        <v>8983</v>
      </c>
      <c r="H54" s="73">
        <f>'[1]All age Groups'!M54</f>
        <v>7552</v>
      </c>
      <c r="I54" s="74">
        <f>'[1]All age Groups'!N54</f>
        <v>7157</v>
      </c>
      <c r="J54" s="73">
        <f>'[1]All age Groups'!O54</f>
        <v>4936</v>
      </c>
      <c r="K54" s="74">
        <f>'[1]All age Groups'!P54</f>
        <v>5824</v>
      </c>
      <c r="L54" s="73">
        <f>'[1]All age Groups'!Q54</f>
        <v>2567</v>
      </c>
      <c r="M54" s="74">
        <f>'[1]All age Groups'!R54</f>
        <v>3307</v>
      </c>
      <c r="N54" s="73">
        <f>'[1]All age Groups'!S54</f>
        <v>2073</v>
      </c>
      <c r="O54" s="74">
        <f>'[1]All age Groups'!T54</f>
        <v>3406</v>
      </c>
      <c r="P54" s="73">
        <f>'[1]All age Groups'!U54</f>
        <v>2221</v>
      </c>
      <c r="Q54" s="74">
        <f>'[1]All age Groups'!V54</f>
        <v>2665</v>
      </c>
      <c r="R54" s="73">
        <f>'[1]All age Groups'!W54</f>
        <v>1728</v>
      </c>
      <c r="S54" s="74">
        <f>'[1]All age Groups'!X54</f>
        <v>2221</v>
      </c>
      <c r="T54" s="73">
        <f>'[1]All age Groups'!Y54</f>
        <v>2024</v>
      </c>
      <c r="U54" s="74">
        <f>'[1]All age Groups'!Z54</f>
        <v>1234</v>
      </c>
      <c r="V54" s="73">
        <f>'[1]All age Groups'!AA54</f>
        <v>938</v>
      </c>
      <c r="W54" s="74">
        <f>'[1]All age Groups'!AB54</f>
        <v>642</v>
      </c>
      <c r="X54" s="73">
        <f>'[1]All age Groups'!AC54</f>
        <v>1283</v>
      </c>
      <c r="Y54" s="74">
        <f>'[1]All age Groups'!AD54</f>
        <v>1678</v>
      </c>
      <c r="Z54" s="73">
        <f>'[1]All age Groups'!AE54</f>
        <v>543</v>
      </c>
      <c r="AA54" s="74">
        <f>'[1]All age Groups'!AF54</f>
        <v>592</v>
      </c>
      <c r="AB54" s="73">
        <f>'[1]All age Groups'!AG54</f>
        <v>888</v>
      </c>
      <c r="AC54" s="74">
        <f>'[1]All age Groups'!AH54</f>
        <v>839</v>
      </c>
      <c r="AD54" s="73">
        <f>'[1]All age Groups'!AI54</f>
        <v>197</v>
      </c>
      <c r="AE54" s="74">
        <f>'[1]All age Groups'!AJ54</f>
        <v>296</v>
      </c>
      <c r="AF54" s="73">
        <f>'[1]All age Groups'!AK54</f>
        <v>494</v>
      </c>
      <c r="AG54" s="74">
        <f>'[1]All age Groups'!AL54</f>
        <v>543</v>
      </c>
      <c r="AH54" s="73">
        <f>'[1]All age Groups'!AM54</f>
        <v>99</v>
      </c>
      <c r="AI54" s="74">
        <f>'[1]All age Groups'!AN54</f>
        <v>148</v>
      </c>
      <c r="AJ54" s="73">
        <f>'[1]All age Groups'!AO54</f>
        <v>592</v>
      </c>
      <c r="AK54" s="74">
        <f>'[1]All age Groups'!AP54</f>
        <v>592</v>
      </c>
      <c r="AL54" s="75">
        <f t="shared" si="0"/>
        <v>49112</v>
      </c>
      <c r="AM54" s="75">
        <f t="shared" si="0"/>
        <v>49406</v>
      </c>
      <c r="AN54" s="76">
        <f t="shared" si="1"/>
        <v>98518</v>
      </c>
    </row>
    <row r="55" spans="1:40" x14ac:dyDescent="0.5">
      <c r="A55" s="71" t="str">
        <f>'[1]All age Groups'!C55</f>
        <v xml:space="preserve">Puntland  </v>
      </c>
      <c r="B55" s="72" t="str">
        <f>'[1]All age Groups'!D55</f>
        <v>Bari</v>
      </c>
      <c r="C55" s="72" t="str">
        <f>'[1]All age Groups'!E55</f>
        <v>Iskushuban</v>
      </c>
      <c r="D55" s="73">
        <f>'[1]All age Groups'!I55</f>
        <v>6682</v>
      </c>
      <c r="E55" s="74">
        <f>'[1]All age Groups'!J55</f>
        <v>5843</v>
      </c>
      <c r="F55" s="73">
        <f>'[1]All age Groups'!K55</f>
        <v>6526</v>
      </c>
      <c r="G55" s="74">
        <f>'[1]All age Groups'!L55</f>
        <v>5656</v>
      </c>
      <c r="H55" s="73">
        <f>'[1]All age Groups'!M55</f>
        <v>4755</v>
      </c>
      <c r="I55" s="74">
        <f>'[1]All age Groups'!N55</f>
        <v>4506</v>
      </c>
      <c r="J55" s="73">
        <f>'[1]All age Groups'!O55</f>
        <v>3108</v>
      </c>
      <c r="K55" s="74">
        <f>'[1]All age Groups'!P55</f>
        <v>3667</v>
      </c>
      <c r="L55" s="73">
        <f>'[1]All age Groups'!Q55</f>
        <v>1616</v>
      </c>
      <c r="M55" s="74">
        <f>'[1]All age Groups'!R55</f>
        <v>2082</v>
      </c>
      <c r="N55" s="73">
        <f>'[1]All age Groups'!S55</f>
        <v>1305</v>
      </c>
      <c r="O55" s="74">
        <f>'[1]All age Groups'!T55</f>
        <v>2144</v>
      </c>
      <c r="P55" s="73">
        <f>'[1]All age Groups'!U55</f>
        <v>1399</v>
      </c>
      <c r="Q55" s="74">
        <f>'[1]All age Groups'!V55</f>
        <v>1678</v>
      </c>
      <c r="R55" s="73">
        <f>'[1]All age Groups'!W55</f>
        <v>1088</v>
      </c>
      <c r="S55" s="74">
        <f>'[1]All age Groups'!X55</f>
        <v>1399</v>
      </c>
      <c r="T55" s="73">
        <f>'[1]All age Groups'!Y55</f>
        <v>1274</v>
      </c>
      <c r="U55" s="74">
        <f>'[1]All age Groups'!Z55</f>
        <v>777</v>
      </c>
      <c r="V55" s="73">
        <f>'[1]All age Groups'!AA55</f>
        <v>590</v>
      </c>
      <c r="W55" s="74">
        <f>'[1]All age Groups'!AB55</f>
        <v>404</v>
      </c>
      <c r="X55" s="73">
        <f>'[1]All age Groups'!AC55</f>
        <v>808</v>
      </c>
      <c r="Y55" s="74">
        <f>'[1]All age Groups'!AD55</f>
        <v>1057</v>
      </c>
      <c r="Z55" s="73">
        <f>'[1]All age Groups'!AE55</f>
        <v>342</v>
      </c>
      <c r="AA55" s="74">
        <f>'[1]All age Groups'!AF55</f>
        <v>373</v>
      </c>
      <c r="AB55" s="73">
        <f>'[1]All age Groups'!AG55</f>
        <v>559</v>
      </c>
      <c r="AC55" s="74">
        <f>'[1]All age Groups'!AH55</f>
        <v>528</v>
      </c>
      <c r="AD55" s="73">
        <f>'[1]All age Groups'!AI55</f>
        <v>124</v>
      </c>
      <c r="AE55" s="74">
        <f>'[1]All age Groups'!AJ55</f>
        <v>186</v>
      </c>
      <c r="AF55" s="73">
        <f>'[1]All age Groups'!AK55</f>
        <v>311</v>
      </c>
      <c r="AG55" s="74">
        <f>'[1]All age Groups'!AL55</f>
        <v>342</v>
      </c>
      <c r="AH55" s="73">
        <f>'[1]All age Groups'!AM55</f>
        <v>62</v>
      </c>
      <c r="AI55" s="74">
        <f>'[1]All age Groups'!AN55</f>
        <v>93</v>
      </c>
      <c r="AJ55" s="73">
        <f>'[1]All age Groups'!AO55</f>
        <v>373</v>
      </c>
      <c r="AK55" s="74">
        <f>'[1]All age Groups'!AP55</f>
        <v>373</v>
      </c>
      <c r="AL55" s="75">
        <f t="shared" si="0"/>
        <v>30922</v>
      </c>
      <c r="AM55" s="75">
        <f t="shared" si="0"/>
        <v>31108</v>
      </c>
      <c r="AN55" s="76">
        <f t="shared" si="1"/>
        <v>62030</v>
      </c>
    </row>
    <row r="56" spans="1:40" x14ac:dyDescent="0.5">
      <c r="A56" s="71" t="str">
        <f>'[1]All age Groups'!C56</f>
        <v xml:space="preserve">Puntland  </v>
      </c>
      <c r="B56" s="72" t="str">
        <f>'[1]All age Groups'!D56</f>
        <v>Bari</v>
      </c>
      <c r="C56" s="72" t="str">
        <f>'[1]All age Groups'!E56</f>
        <v>Qandala</v>
      </c>
      <c r="D56" s="73">
        <f>'[1]All age Groups'!I56</f>
        <v>7153</v>
      </c>
      <c r="E56" s="74">
        <f>'[1]All age Groups'!J56</f>
        <v>6255</v>
      </c>
      <c r="F56" s="73">
        <f>'[1]All age Groups'!K56</f>
        <v>6986</v>
      </c>
      <c r="G56" s="74">
        <f>'[1]All age Groups'!L56</f>
        <v>6055</v>
      </c>
      <c r="H56" s="73">
        <f>'[1]All age Groups'!M56</f>
        <v>5090</v>
      </c>
      <c r="I56" s="74">
        <f>'[1]All age Groups'!N56</f>
        <v>4824</v>
      </c>
      <c r="J56" s="73">
        <f>'[1]All age Groups'!O56</f>
        <v>3327</v>
      </c>
      <c r="K56" s="74">
        <f>'[1]All age Groups'!P56</f>
        <v>3926</v>
      </c>
      <c r="L56" s="73">
        <f>'[1]All age Groups'!Q56</f>
        <v>1730</v>
      </c>
      <c r="M56" s="74">
        <f>'[1]All age Groups'!R56</f>
        <v>2229</v>
      </c>
      <c r="N56" s="73">
        <f>'[1]All age Groups'!S56</f>
        <v>1397</v>
      </c>
      <c r="O56" s="74">
        <f>'[1]All age Groups'!T56</f>
        <v>2296</v>
      </c>
      <c r="P56" s="73">
        <f>'[1]All age Groups'!U56</f>
        <v>1497</v>
      </c>
      <c r="Q56" s="74">
        <f>'[1]All age Groups'!V56</f>
        <v>1797</v>
      </c>
      <c r="R56" s="73">
        <f>'[1]All age Groups'!W56</f>
        <v>1164</v>
      </c>
      <c r="S56" s="74">
        <f>'[1]All age Groups'!X56</f>
        <v>1497</v>
      </c>
      <c r="T56" s="73">
        <f>'[1]All age Groups'!Y56</f>
        <v>1364</v>
      </c>
      <c r="U56" s="74">
        <f>'[1]All age Groups'!Z56</f>
        <v>832</v>
      </c>
      <c r="V56" s="73">
        <f>'[1]All age Groups'!AA56</f>
        <v>632</v>
      </c>
      <c r="W56" s="74">
        <f>'[1]All age Groups'!AB56</f>
        <v>432</v>
      </c>
      <c r="X56" s="73">
        <f>'[1]All age Groups'!AC56</f>
        <v>865</v>
      </c>
      <c r="Y56" s="74">
        <f>'[1]All age Groups'!AD56</f>
        <v>1131</v>
      </c>
      <c r="Z56" s="73">
        <f>'[1]All age Groups'!AE56</f>
        <v>366</v>
      </c>
      <c r="AA56" s="74">
        <f>'[1]All age Groups'!AF56</f>
        <v>399</v>
      </c>
      <c r="AB56" s="73">
        <f>'[1]All age Groups'!AG56</f>
        <v>599</v>
      </c>
      <c r="AC56" s="74">
        <f>'[1]All age Groups'!AH56</f>
        <v>566</v>
      </c>
      <c r="AD56" s="73">
        <f>'[1]All age Groups'!AI56</f>
        <v>133</v>
      </c>
      <c r="AE56" s="74">
        <f>'[1]All age Groups'!AJ56</f>
        <v>200</v>
      </c>
      <c r="AF56" s="73">
        <f>'[1]All age Groups'!AK56</f>
        <v>333</v>
      </c>
      <c r="AG56" s="74">
        <f>'[1]All age Groups'!AL56</f>
        <v>366</v>
      </c>
      <c r="AH56" s="73">
        <f>'[1]All age Groups'!AM56</f>
        <v>67</v>
      </c>
      <c r="AI56" s="74">
        <f>'[1]All age Groups'!AN56</f>
        <v>100</v>
      </c>
      <c r="AJ56" s="73">
        <f>'[1]All age Groups'!AO56</f>
        <v>399</v>
      </c>
      <c r="AK56" s="74">
        <f>'[1]All age Groups'!AP56</f>
        <v>399</v>
      </c>
      <c r="AL56" s="75">
        <f t="shared" si="0"/>
        <v>33102</v>
      </c>
      <c r="AM56" s="75">
        <f t="shared" si="0"/>
        <v>33304</v>
      </c>
      <c r="AN56" s="76">
        <f t="shared" si="1"/>
        <v>66406</v>
      </c>
    </row>
    <row r="57" spans="1:40" x14ac:dyDescent="0.5">
      <c r="A57" s="71" t="str">
        <f>'[1]All age Groups'!C57</f>
        <v xml:space="preserve">Puntland  </v>
      </c>
      <c r="B57" s="72" t="str">
        <f>'[1]All age Groups'!D57</f>
        <v>Bari</v>
      </c>
      <c r="C57" s="72" t="str">
        <f>'[1]All age Groups'!E57</f>
        <v>Qardho</v>
      </c>
      <c r="D57" s="73">
        <f>'[1]All age Groups'!I57</f>
        <v>18713</v>
      </c>
      <c r="E57" s="74">
        <f>'[1]All age Groups'!J57</f>
        <v>16363</v>
      </c>
      <c r="F57" s="73">
        <f>'[1]All age Groups'!K57</f>
        <v>18278</v>
      </c>
      <c r="G57" s="74">
        <f>'[1]All age Groups'!L57</f>
        <v>15841</v>
      </c>
      <c r="H57" s="73">
        <f>'[1]All age Groups'!M57</f>
        <v>13317</v>
      </c>
      <c r="I57" s="74">
        <f>'[1]All age Groups'!N57</f>
        <v>12620</v>
      </c>
      <c r="J57" s="73">
        <f>'[1]All age Groups'!O57</f>
        <v>8704</v>
      </c>
      <c r="K57" s="74">
        <f>'[1]All age Groups'!P57</f>
        <v>10270</v>
      </c>
      <c r="L57" s="73">
        <f>'[1]All age Groups'!Q57</f>
        <v>4526</v>
      </c>
      <c r="M57" s="74">
        <f>'[1]All age Groups'!R57</f>
        <v>5832</v>
      </c>
      <c r="N57" s="73">
        <f>'[1]All age Groups'!S57</f>
        <v>3656</v>
      </c>
      <c r="O57" s="74">
        <f>'[1]All age Groups'!T57</f>
        <v>6006</v>
      </c>
      <c r="P57" s="73">
        <f>'[1]All age Groups'!U57</f>
        <v>3917</v>
      </c>
      <c r="Q57" s="74">
        <f>'[1]All age Groups'!V57</f>
        <v>4700</v>
      </c>
      <c r="R57" s="73">
        <f>'[1]All age Groups'!W57</f>
        <v>3046</v>
      </c>
      <c r="S57" s="74">
        <f>'[1]All age Groups'!X57</f>
        <v>3917</v>
      </c>
      <c r="T57" s="73">
        <f>'[1]All age Groups'!Y57</f>
        <v>3569</v>
      </c>
      <c r="U57" s="74">
        <f>'[1]All age Groups'!Z57</f>
        <v>2176</v>
      </c>
      <c r="V57" s="73">
        <f>'[1]All age Groups'!AA57</f>
        <v>1654</v>
      </c>
      <c r="W57" s="74">
        <f>'[1]All age Groups'!AB57</f>
        <v>1131</v>
      </c>
      <c r="X57" s="73">
        <f>'[1]All age Groups'!AC57</f>
        <v>2263</v>
      </c>
      <c r="Y57" s="74">
        <f>'[1]All age Groups'!AD57</f>
        <v>2959</v>
      </c>
      <c r="Z57" s="73">
        <f>'[1]All age Groups'!AE57</f>
        <v>957</v>
      </c>
      <c r="AA57" s="74">
        <f>'[1]All age Groups'!AF57</f>
        <v>1044</v>
      </c>
      <c r="AB57" s="73">
        <f>'[1]All age Groups'!AG57</f>
        <v>1567</v>
      </c>
      <c r="AC57" s="74">
        <f>'[1]All age Groups'!AH57</f>
        <v>1480</v>
      </c>
      <c r="AD57" s="73">
        <f>'[1]All age Groups'!AI57</f>
        <v>348</v>
      </c>
      <c r="AE57" s="74">
        <f>'[1]All age Groups'!AJ57</f>
        <v>522</v>
      </c>
      <c r="AF57" s="73">
        <f>'[1]All age Groups'!AK57</f>
        <v>870</v>
      </c>
      <c r="AG57" s="74">
        <f>'[1]All age Groups'!AL57</f>
        <v>957</v>
      </c>
      <c r="AH57" s="73">
        <f>'[1]All age Groups'!AM57</f>
        <v>174</v>
      </c>
      <c r="AI57" s="74">
        <f>'[1]All age Groups'!AN57</f>
        <v>261</v>
      </c>
      <c r="AJ57" s="73">
        <f>'[1]All age Groups'!AO57</f>
        <v>1044</v>
      </c>
      <c r="AK57" s="74">
        <f>'[1]All age Groups'!AP57</f>
        <v>1044</v>
      </c>
      <c r="AL57" s="75">
        <f t="shared" si="0"/>
        <v>86603</v>
      </c>
      <c r="AM57" s="75">
        <f t="shared" si="0"/>
        <v>87123</v>
      </c>
      <c r="AN57" s="76">
        <f t="shared" si="1"/>
        <v>173726</v>
      </c>
    </row>
    <row r="58" spans="1:40" x14ac:dyDescent="0.5">
      <c r="A58" s="71" t="str">
        <f>'[1]All age Groups'!C58</f>
        <v xml:space="preserve">Puntland  </v>
      </c>
      <c r="B58" s="72" t="str">
        <f>'[1]All age Groups'!D58</f>
        <v>Nugaal</v>
      </c>
      <c r="C58" s="72" t="str">
        <f>'[1]All age Groups'!E58</f>
        <v>Burtinle</v>
      </c>
      <c r="D58" s="73">
        <f>'[1]All age Groups'!I58</f>
        <v>14463</v>
      </c>
      <c r="E58" s="74">
        <f>'[1]All age Groups'!J58</f>
        <v>12647</v>
      </c>
      <c r="F58" s="73">
        <f>'[1]All age Groups'!K58</f>
        <v>14127</v>
      </c>
      <c r="G58" s="74">
        <f>'[1]All age Groups'!L58</f>
        <v>12243</v>
      </c>
      <c r="H58" s="73">
        <f>'[1]All age Groups'!M58</f>
        <v>10293</v>
      </c>
      <c r="I58" s="74">
        <f>'[1]All age Groups'!N58</f>
        <v>9754</v>
      </c>
      <c r="J58" s="73">
        <f>'[1]All age Groups'!O58</f>
        <v>6727</v>
      </c>
      <c r="K58" s="74">
        <f>'[1]All age Groups'!P58</f>
        <v>7938</v>
      </c>
      <c r="L58" s="73">
        <f>'[1]All age Groups'!Q58</f>
        <v>3498</v>
      </c>
      <c r="M58" s="74">
        <f>'[1]All age Groups'!R58</f>
        <v>4507</v>
      </c>
      <c r="N58" s="73">
        <f>'[1]All age Groups'!S58</f>
        <v>2825</v>
      </c>
      <c r="O58" s="74">
        <f>'[1]All age Groups'!T58</f>
        <v>4642</v>
      </c>
      <c r="P58" s="73">
        <f>'[1]All age Groups'!U58</f>
        <v>3027</v>
      </c>
      <c r="Q58" s="74">
        <f>'[1]All age Groups'!V58</f>
        <v>3633</v>
      </c>
      <c r="R58" s="73">
        <f>'[1]All age Groups'!W58</f>
        <v>2355</v>
      </c>
      <c r="S58" s="74">
        <f>'[1]All age Groups'!X58</f>
        <v>3027</v>
      </c>
      <c r="T58" s="73">
        <f>'[1]All age Groups'!Y58</f>
        <v>2758</v>
      </c>
      <c r="U58" s="74">
        <f>'[1]All age Groups'!Z58</f>
        <v>1682</v>
      </c>
      <c r="V58" s="73">
        <f>'[1]All age Groups'!AA58</f>
        <v>1278</v>
      </c>
      <c r="W58" s="74">
        <f>'[1]All age Groups'!AB58</f>
        <v>875</v>
      </c>
      <c r="X58" s="73">
        <f>'[1]All age Groups'!AC58</f>
        <v>1749</v>
      </c>
      <c r="Y58" s="74">
        <f>'[1]All age Groups'!AD58</f>
        <v>2287</v>
      </c>
      <c r="Z58" s="73">
        <f>'[1]All age Groups'!AE58</f>
        <v>740</v>
      </c>
      <c r="AA58" s="74">
        <f>'[1]All age Groups'!AF58</f>
        <v>807</v>
      </c>
      <c r="AB58" s="73">
        <f>'[1]All age Groups'!AG58</f>
        <v>1211</v>
      </c>
      <c r="AC58" s="74">
        <f>'[1]All age Groups'!AH58</f>
        <v>1144</v>
      </c>
      <c r="AD58" s="73">
        <f>'[1]All age Groups'!AI58</f>
        <v>269</v>
      </c>
      <c r="AE58" s="74">
        <f>'[1]All age Groups'!AJ58</f>
        <v>404</v>
      </c>
      <c r="AF58" s="73">
        <f>'[1]All age Groups'!AK58</f>
        <v>673</v>
      </c>
      <c r="AG58" s="74">
        <f>'[1]All age Groups'!AL58</f>
        <v>740</v>
      </c>
      <c r="AH58" s="73">
        <f>'[1]All age Groups'!AM58</f>
        <v>135</v>
      </c>
      <c r="AI58" s="74">
        <f>'[1]All age Groups'!AN58</f>
        <v>202</v>
      </c>
      <c r="AJ58" s="73">
        <f>'[1]All age Groups'!AO58</f>
        <v>807</v>
      </c>
      <c r="AK58" s="74">
        <f>'[1]All age Groups'!AP58</f>
        <v>807</v>
      </c>
      <c r="AL58" s="75">
        <f t="shared" si="0"/>
        <v>66935</v>
      </c>
      <c r="AM58" s="75">
        <f t="shared" si="0"/>
        <v>67339</v>
      </c>
      <c r="AN58" s="76">
        <f t="shared" si="1"/>
        <v>134274</v>
      </c>
    </row>
    <row r="59" spans="1:40" x14ac:dyDescent="0.5">
      <c r="A59" s="71" t="str">
        <f>'[1]All age Groups'!C59</f>
        <v xml:space="preserve">Puntland  </v>
      </c>
      <c r="B59" s="72" t="str">
        <f>'[1]All age Groups'!D59</f>
        <v>Nugaal</v>
      </c>
      <c r="C59" s="72" t="str">
        <f>'[1]All age Groups'!E59</f>
        <v>Eyl</v>
      </c>
      <c r="D59" s="73">
        <f>'[1]All age Groups'!I59</f>
        <v>18881</v>
      </c>
      <c r="E59" s="74">
        <f>'[1]All age Groups'!J59</f>
        <v>16510</v>
      </c>
      <c r="F59" s="73">
        <f>'[1]All age Groups'!K59</f>
        <v>18442</v>
      </c>
      <c r="G59" s="74">
        <f>'[1]All age Groups'!L59</f>
        <v>15983</v>
      </c>
      <c r="H59" s="73">
        <f>'[1]All age Groups'!M59</f>
        <v>13436</v>
      </c>
      <c r="I59" s="74">
        <f>'[1]All age Groups'!N59</f>
        <v>12734</v>
      </c>
      <c r="J59" s="73">
        <f>'[1]All age Groups'!O59</f>
        <v>8782</v>
      </c>
      <c r="K59" s="74">
        <f>'[1]All age Groups'!P59</f>
        <v>10362</v>
      </c>
      <c r="L59" s="73">
        <f>'[1]All age Groups'!Q59</f>
        <v>4567</v>
      </c>
      <c r="M59" s="74">
        <f>'[1]All age Groups'!R59</f>
        <v>5884</v>
      </c>
      <c r="N59" s="73">
        <f>'[1]All age Groups'!S59</f>
        <v>3688</v>
      </c>
      <c r="O59" s="74">
        <f>'[1]All age Groups'!T59</f>
        <v>6059</v>
      </c>
      <c r="P59" s="73">
        <f>'[1]All age Groups'!U59</f>
        <v>3952</v>
      </c>
      <c r="Q59" s="74">
        <f>'[1]All age Groups'!V59</f>
        <v>4742</v>
      </c>
      <c r="R59" s="73">
        <f>'[1]All age Groups'!W59</f>
        <v>3074</v>
      </c>
      <c r="S59" s="74">
        <f>'[1]All age Groups'!X59</f>
        <v>3952</v>
      </c>
      <c r="T59" s="73">
        <f>'[1]All age Groups'!Y59</f>
        <v>3601</v>
      </c>
      <c r="U59" s="74">
        <f>'[1]All age Groups'!Z59</f>
        <v>2195</v>
      </c>
      <c r="V59" s="73">
        <f>'[1]All age Groups'!AA59</f>
        <v>1669</v>
      </c>
      <c r="W59" s="74">
        <f>'[1]All age Groups'!AB59</f>
        <v>1142</v>
      </c>
      <c r="X59" s="73">
        <f>'[1]All age Groups'!AC59</f>
        <v>2283</v>
      </c>
      <c r="Y59" s="74">
        <f>'[1]All age Groups'!AD59</f>
        <v>2986</v>
      </c>
      <c r="Z59" s="73">
        <f>'[1]All age Groups'!AE59</f>
        <v>966</v>
      </c>
      <c r="AA59" s="74">
        <f>'[1]All age Groups'!AF59</f>
        <v>1054</v>
      </c>
      <c r="AB59" s="73">
        <f>'[1]All age Groups'!AG59</f>
        <v>1581</v>
      </c>
      <c r="AC59" s="74">
        <f>'[1]All age Groups'!AH59</f>
        <v>1493</v>
      </c>
      <c r="AD59" s="73">
        <f>'[1]All age Groups'!AI59</f>
        <v>351</v>
      </c>
      <c r="AE59" s="74">
        <f>'[1]All age Groups'!AJ59</f>
        <v>527</v>
      </c>
      <c r="AF59" s="73">
        <f>'[1]All age Groups'!AK59</f>
        <v>878</v>
      </c>
      <c r="AG59" s="74">
        <f>'[1]All age Groups'!AL59</f>
        <v>966</v>
      </c>
      <c r="AH59" s="73">
        <f>'[1]All age Groups'!AM59</f>
        <v>176</v>
      </c>
      <c r="AI59" s="74">
        <f>'[1]All age Groups'!AN59</f>
        <v>263</v>
      </c>
      <c r="AJ59" s="73">
        <f>'[1]All age Groups'!AO59</f>
        <v>1054</v>
      </c>
      <c r="AK59" s="74">
        <f>'[1]All age Groups'!AP59</f>
        <v>1054</v>
      </c>
      <c r="AL59" s="75">
        <f t="shared" si="0"/>
        <v>87381</v>
      </c>
      <c r="AM59" s="75">
        <f t="shared" si="0"/>
        <v>87906</v>
      </c>
      <c r="AN59" s="76">
        <f t="shared" si="1"/>
        <v>175287</v>
      </c>
    </row>
    <row r="60" spans="1:40" x14ac:dyDescent="0.5">
      <c r="A60" s="71" t="str">
        <f>'[1]All age Groups'!C60</f>
        <v xml:space="preserve">Puntland  </v>
      </c>
      <c r="B60" s="72" t="str">
        <f>'[1]All age Groups'!D60</f>
        <v>Nugaal</v>
      </c>
      <c r="C60" s="72" t="str">
        <f>'[1]All age Groups'!E60</f>
        <v>Garoowe</v>
      </c>
      <c r="D60" s="73">
        <f>'[1]All age Groups'!I60</f>
        <v>36828</v>
      </c>
      <c r="E60" s="74">
        <f>'[1]All age Groups'!J60</f>
        <v>32203</v>
      </c>
      <c r="F60" s="73">
        <f>'[1]All age Groups'!K60</f>
        <v>35972</v>
      </c>
      <c r="G60" s="74">
        <f>'[1]All age Groups'!L60</f>
        <v>31175</v>
      </c>
      <c r="H60" s="73">
        <f>'[1]All age Groups'!M60</f>
        <v>26208</v>
      </c>
      <c r="I60" s="74">
        <f>'[1]All age Groups'!N60</f>
        <v>24838</v>
      </c>
      <c r="J60" s="73">
        <f>'[1]All age Groups'!O60</f>
        <v>17129</v>
      </c>
      <c r="K60" s="74">
        <f>'[1]All age Groups'!P60</f>
        <v>20213</v>
      </c>
      <c r="L60" s="73">
        <f>'[1]All age Groups'!Q60</f>
        <v>8907</v>
      </c>
      <c r="M60" s="74">
        <f>'[1]All age Groups'!R60</f>
        <v>11477</v>
      </c>
      <c r="N60" s="73">
        <f>'[1]All age Groups'!S60</f>
        <v>7194</v>
      </c>
      <c r="O60" s="74">
        <f>'[1]All age Groups'!T60</f>
        <v>11819</v>
      </c>
      <c r="P60" s="73">
        <f>'[1]All age Groups'!U60</f>
        <v>7708</v>
      </c>
      <c r="Q60" s="74">
        <f>'[1]All age Groups'!V60</f>
        <v>9250</v>
      </c>
      <c r="R60" s="73">
        <f>'[1]All age Groups'!W60</f>
        <v>5995</v>
      </c>
      <c r="S60" s="74">
        <f>'[1]All age Groups'!X60</f>
        <v>7708</v>
      </c>
      <c r="T60" s="73">
        <f>'[1]All age Groups'!Y60</f>
        <v>7023</v>
      </c>
      <c r="U60" s="74">
        <f>'[1]All age Groups'!Z60</f>
        <v>4282</v>
      </c>
      <c r="V60" s="73">
        <f>'[1]All age Groups'!AA60</f>
        <v>3255</v>
      </c>
      <c r="W60" s="74">
        <f>'[1]All age Groups'!AB60</f>
        <v>2227</v>
      </c>
      <c r="X60" s="73">
        <f>'[1]All age Groups'!AC60</f>
        <v>4454</v>
      </c>
      <c r="Y60" s="74">
        <f>'[1]All age Groups'!AD60</f>
        <v>5824</v>
      </c>
      <c r="Z60" s="73">
        <f>'[1]All age Groups'!AE60</f>
        <v>1884</v>
      </c>
      <c r="AA60" s="74">
        <f>'[1]All age Groups'!AF60</f>
        <v>2056</v>
      </c>
      <c r="AB60" s="73">
        <f>'[1]All age Groups'!AG60</f>
        <v>3083</v>
      </c>
      <c r="AC60" s="74">
        <f>'[1]All age Groups'!AH60</f>
        <v>2912</v>
      </c>
      <c r="AD60" s="73">
        <f>'[1]All age Groups'!AI60</f>
        <v>685</v>
      </c>
      <c r="AE60" s="74">
        <f>'[1]All age Groups'!AJ60</f>
        <v>1028</v>
      </c>
      <c r="AF60" s="73">
        <f>'[1]All age Groups'!AK60</f>
        <v>1713</v>
      </c>
      <c r="AG60" s="74">
        <f>'[1]All age Groups'!AL60</f>
        <v>1884</v>
      </c>
      <c r="AH60" s="73">
        <f>'[1]All age Groups'!AM60</f>
        <v>343</v>
      </c>
      <c r="AI60" s="74">
        <f>'[1]All age Groups'!AN60</f>
        <v>514</v>
      </c>
      <c r="AJ60" s="73">
        <f>'[1]All age Groups'!AO60</f>
        <v>2056</v>
      </c>
      <c r="AK60" s="74">
        <f>'[1]All age Groups'!AP60</f>
        <v>2056</v>
      </c>
      <c r="AL60" s="75">
        <f t="shared" si="0"/>
        <v>170437</v>
      </c>
      <c r="AM60" s="75">
        <f t="shared" si="0"/>
        <v>171466</v>
      </c>
      <c r="AN60" s="76">
        <f t="shared" si="1"/>
        <v>341903</v>
      </c>
    </row>
    <row r="61" spans="1:40" x14ac:dyDescent="0.5">
      <c r="A61" s="71" t="str">
        <f>'[1]All age Groups'!C61</f>
        <v xml:space="preserve">Somaliland  </v>
      </c>
      <c r="B61" s="72" t="str">
        <f>'[1]All age Groups'!D61</f>
        <v>Awdal</v>
      </c>
      <c r="C61" s="72" t="str">
        <f>'[1]All age Groups'!E61</f>
        <v>Baki</v>
      </c>
      <c r="D61" s="73">
        <f>'[1]All age Groups'!I61</f>
        <v>6927</v>
      </c>
      <c r="E61" s="74">
        <f>'[1]All age Groups'!J61</f>
        <v>6412</v>
      </c>
      <c r="F61" s="73">
        <f>'[1]All age Groups'!K61</f>
        <v>6755</v>
      </c>
      <c r="G61" s="74">
        <f>'[1]All age Groups'!L61</f>
        <v>6104</v>
      </c>
      <c r="H61" s="73">
        <f>'[1]All age Groups'!M61</f>
        <v>5418</v>
      </c>
      <c r="I61" s="74">
        <f>'[1]All age Groups'!N61</f>
        <v>5144</v>
      </c>
      <c r="J61" s="73">
        <f>'[1]All age Groups'!O61</f>
        <v>3635</v>
      </c>
      <c r="K61" s="74">
        <f>'[1]All age Groups'!P61</f>
        <v>3738</v>
      </c>
      <c r="L61" s="73">
        <f>'[1]All age Groups'!Q61</f>
        <v>2023</v>
      </c>
      <c r="M61" s="74">
        <f>'[1]All age Groups'!R61</f>
        <v>2435</v>
      </c>
      <c r="N61" s="73">
        <f>'[1]All age Groups'!S61</f>
        <v>1646</v>
      </c>
      <c r="O61" s="74">
        <f>'[1]All age Groups'!T61</f>
        <v>2366</v>
      </c>
      <c r="P61" s="73">
        <f>'[1]All age Groups'!U61</f>
        <v>1509</v>
      </c>
      <c r="Q61" s="74">
        <f>'[1]All age Groups'!V61</f>
        <v>1749</v>
      </c>
      <c r="R61" s="73">
        <f>'[1]All age Groups'!W61</f>
        <v>1269</v>
      </c>
      <c r="S61" s="74">
        <f>'[1]All age Groups'!X61</f>
        <v>1509</v>
      </c>
      <c r="T61" s="73">
        <f>'[1]All age Groups'!Y61</f>
        <v>1166</v>
      </c>
      <c r="U61" s="74">
        <f>'[1]All age Groups'!Z61</f>
        <v>857</v>
      </c>
      <c r="V61" s="73">
        <f>'[1]All age Groups'!AA61</f>
        <v>652</v>
      </c>
      <c r="W61" s="74">
        <f>'[1]All age Groups'!AB61</f>
        <v>514</v>
      </c>
      <c r="X61" s="73">
        <f>'[1]All age Groups'!AC61</f>
        <v>892</v>
      </c>
      <c r="Y61" s="74">
        <f>'[1]All age Groups'!AD61</f>
        <v>1234</v>
      </c>
      <c r="Z61" s="73">
        <f>'[1]All age Groups'!AE61</f>
        <v>411</v>
      </c>
      <c r="AA61" s="74">
        <f>'[1]All age Groups'!AF61</f>
        <v>480</v>
      </c>
      <c r="AB61" s="73">
        <f>'[1]All age Groups'!AG61</f>
        <v>652</v>
      </c>
      <c r="AC61" s="74">
        <f>'[1]All age Groups'!AH61</f>
        <v>549</v>
      </c>
      <c r="AD61" s="73">
        <f>'[1]All age Groups'!AI61</f>
        <v>206</v>
      </c>
      <c r="AE61" s="74">
        <f>'[1]All age Groups'!AJ61</f>
        <v>240</v>
      </c>
      <c r="AF61" s="73">
        <f>'[1]All age Groups'!AK61</f>
        <v>343</v>
      </c>
      <c r="AG61" s="74">
        <f>'[1]All age Groups'!AL61</f>
        <v>411</v>
      </c>
      <c r="AH61" s="73">
        <f>'[1]All age Groups'!AM61</f>
        <v>103</v>
      </c>
      <c r="AI61" s="74">
        <f>'[1]All age Groups'!AN61</f>
        <v>103</v>
      </c>
      <c r="AJ61" s="73">
        <f>'[1]All age Groups'!AO61</f>
        <v>309</v>
      </c>
      <c r="AK61" s="74">
        <f>'[1]All age Groups'!AP61</f>
        <v>411</v>
      </c>
      <c r="AL61" s="75">
        <f t="shared" si="0"/>
        <v>33916</v>
      </c>
      <c r="AM61" s="75">
        <f t="shared" si="0"/>
        <v>34256</v>
      </c>
      <c r="AN61" s="76">
        <f t="shared" si="1"/>
        <v>68172</v>
      </c>
    </row>
    <row r="62" spans="1:40" x14ac:dyDescent="0.5">
      <c r="A62" s="71" t="str">
        <f>'[1]All age Groups'!C62</f>
        <v xml:space="preserve">Somaliland  </v>
      </c>
      <c r="B62" s="72" t="str">
        <f>'[1]All age Groups'!D62</f>
        <v>Awdal</v>
      </c>
      <c r="C62" s="72" t="str">
        <f>'[1]All age Groups'!E62</f>
        <v>Borama</v>
      </c>
      <c r="D62" s="73">
        <f>'[1]All age Groups'!I62</f>
        <v>45218</v>
      </c>
      <c r="E62" s="74">
        <f>'[1]All age Groups'!J62</f>
        <v>41860</v>
      </c>
      <c r="F62" s="73">
        <f>'[1]All age Groups'!K62</f>
        <v>44099</v>
      </c>
      <c r="G62" s="74">
        <f>'[1]All age Groups'!L62</f>
        <v>39846</v>
      </c>
      <c r="H62" s="73">
        <f>'[1]All age Groups'!M62</f>
        <v>35368</v>
      </c>
      <c r="I62" s="74">
        <f>'[1]All age Groups'!N62</f>
        <v>33578</v>
      </c>
      <c r="J62" s="73">
        <f>'[1]All age Groups'!O62</f>
        <v>23728</v>
      </c>
      <c r="K62" s="74">
        <f>'[1]All age Groups'!P62</f>
        <v>24400</v>
      </c>
      <c r="L62" s="73">
        <f>'[1]All age Groups'!Q62</f>
        <v>13207</v>
      </c>
      <c r="M62" s="74">
        <f>'[1]All age Groups'!R62</f>
        <v>15893</v>
      </c>
      <c r="N62" s="73">
        <f>'[1]All age Groups'!S62</f>
        <v>10745</v>
      </c>
      <c r="O62" s="74">
        <f>'[1]All age Groups'!T62</f>
        <v>15446</v>
      </c>
      <c r="P62" s="73">
        <f>'[1]All age Groups'!U62</f>
        <v>9849</v>
      </c>
      <c r="Q62" s="74">
        <f>'[1]All age Groups'!V62</f>
        <v>11416</v>
      </c>
      <c r="R62" s="73">
        <f>'[1]All age Groups'!W62</f>
        <v>8282</v>
      </c>
      <c r="S62" s="74">
        <f>'[1]All age Groups'!X62</f>
        <v>9849</v>
      </c>
      <c r="T62" s="73">
        <f>'[1]All age Groups'!Y62</f>
        <v>7611</v>
      </c>
      <c r="U62" s="74">
        <f>'[1]All age Groups'!Z62</f>
        <v>5596</v>
      </c>
      <c r="V62" s="73">
        <f>'[1]All age Groups'!AA62</f>
        <v>4253</v>
      </c>
      <c r="W62" s="74">
        <f>'[1]All age Groups'!AB62</f>
        <v>3358</v>
      </c>
      <c r="X62" s="73">
        <f>'[1]All age Groups'!AC62</f>
        <v>5820</v>
      </c>
      <c r="Y62" s="74">
        <f>'[1]All age Groups'!AD62</f>
        <v>8059</v>
      </c>
      <c r="Z62" s="73">
        <f>'[1]All age Groups'!AE62</f>
        <v>2686</v>
      </c>
      <c r="AA62" s="74">
        <f>'[1]All age Groups'!AF62</f>
        <v>3134</v>
      </c>
      <c r="AB62" s="73">
        <f>'[1]All age Groups'!AG62</f>
        <v>4253</v>
      </c>
      <c r="AC62" s="74">
        <f>'[1]All age Groups'!AH62</f>
        <v>3582</v>
      </c>
      <c r="AD62" s="73">
        <f>'[1]All age Groups'!AI62</f>
        <v>1343</v>
      </c>
      <c r="AE62" s="74">
        <f>'[1]All age Groups'!AJ62</f>
        <v>1567</v>
      </c>
      <c r="AF62" s="73">
        <f>'[1]All age Groups'!AK62</f>
        <v>2239</v>
      </c>
      <c r="AG62" s="74">
        <f>'[1]All age Groups'!AL62</f>
        <v>2686</v>
      </c>
      <c r="AH62" s="73">
        <f>'[1]All age Groups'!AM62</f>
        <v>672</v>
      </c>
      <c r="AI62" s="74">
        <f>'[1]All age Groups'!AN62</f>
        <v>672</v>
      </c>
      <c r="AJ62" s="73">
        <f>'[1]All age Groups'!AO62</f>
        <v>2015</v>
      </c>
      <c r="AK62" s="74">
        <f>'[1]All age Groups'!AP62</f>
        <v>2686</v>
      </c>
      <c r="AL62" s="75">
        <f t="shared" si="0"/>
        <v>221388</v>
      </c>
      <c r="AM62" s="75">
        <f t="shared" si="0"/>
        <v>223628</v>
      </c>
      <c r="AN62" s="76">
        <f t="shared" si="1"/>
        <v>445016</v>
      </c>
    </row>
    <row r="63" spans="1:40" x14ac:dyDescent="0.5">
      <c r="A63" s="71" t="str">
        <f>'[1]All age Groups'!C63</f>
        <v xml:space="preserve">Somaliland  </v>
      </c>
      <c r="B63" s="72" t="str">
        <f>'[1]All age Groups'!D63</f>
        <v>Awdal</v>
      </c>
      <c r="C63" s="72" t="str">
        <f>'[1]All age Groups'!E63</f>
        <v>Lughaye</v>
      </c>
      <c r="D63" s="73">
        <f>'[1]All age Groups'!I63</f>
        <v>7537</v>
      </c>
      <c r="E63" s="74">
        <f>'[1]All age Groups'!J63</f>
        <v>6977</v>
      </c>
      <c r="F63" s="73">
        <f>'[1]All age Groups'!K63</f>
        <v>7350</v>
      </c>
      <c r="G63" s="74">
        <f>'[1]All age Groups'!L63</f>
        <v>6641</v>
      </c>
      <c r="H63" s="73">
        <f>'[1]All age Groups'!M63</f>
        <v>5895</v>
      </c>
      <c r="I63" s="74">
        <f>'[1]All age Groups'!N63</f>
        <v>5597</v>
      </c>
      <c r="J63" s="73">
        <f>'[1]All age Groups'!O63</f>
        <v>3955</v>
      </c>
      <c r="K63" s="74">
        <f>'[1]All age Groups'!P63</f>
        <v>4067</v>
      </c>
      <c r="L63" s="73">
        <f>'[1]All age Groups'!Q63</f>
        <v>2201</v>
      </c>
      <c r="M63" s="74">
        <f>'[1]All age Groups'!R63</f>
        <v>2649</v>
      </c>
      <c r="N63" s="73">
        <f>'[1]All age Groups'!S63</f>
        <v>1791</v>
      </c>
      <c r="O63" s="74">
        <f>'[1]All age Groups'!T63</f>
        <v>2575</v>
      </c>
      <c r="P63" s="73">
        <f>'[1]All age Groups'!U63</f>
        <v>1642</v>
      </c>
      <c r="Q63" s="74">
        <f>'[1]All age Groups'!V63</f>
        <v>1903</v>
      </c>
      <c r="R63" s="73">
        <f>'[1]All age Groups'!W63</f>
        <v>1381</v>
      </c>
      <c r="S63" s="74">
        <f>'[1]All age Groups'!X63</f>
        <v>1642</v>
      </c>
      <c r="T63" s="73">
        <f>'[1]All age Groups'!Y63</f>
        <v>1269</v>
      </c>
      <c r="U63" s="74">
        <f>'[1]All age Groups'!Z63</f>
        <v>933</v>
      </c>
      <c r="V63" s="73">
        <f>'[1]All age Groups'!AA63</f>
        <v>709</v>
      </c>
      <c r="W63" s="74">
        <f>'[1]All age Groups'!AB63</f>
        <v>560</v>
      </c>
      <c r="X63" s="73">
        <f>'[1]All age Groups'!AC63</f>
        <v>970</v>
      </c>
      <c r="Y63" s="74">
        <f>'[1]All age Groups'!AD63</f>
        <v>1343</v>
      </c>
      <c r="Z63" s="73">
        <f>'[1]All age Groups'!AE63</f>
        <v>448</v>
      </c>
      <c r="AA63" s="74">
        <f>'[1]All age Groups'!AF63</f>
        <v>522</v>
      </c>
      <c r="AB63" s="73">
        <f>'[1]All age Groups'!AG63</f>
        <v>709</v>
      </c>
      <c r="AC63" s="74">
        <f>'[1]All age Groups'!AH63</f>
        <v>597</v>
      </c>
      <c r="AD63" s="73">
        <f>'[1]All age Groups'!AI63</f>
        <v>224</v>
      </c>
      <c r="AE63" s="74">
        <f>'[1]All age Groups'!AJ63</f>
        <v>261</v>
      </c>
      <c r="AF63" s="73">
        <f>'[1]All age Groups'!AK63</f>
        <v>373</v>
      </c>
      <c r="AG63" s="74">
        <f>'[1]All age Groups'!AL63</f>
        <v>448</v>
      </c>
      <c r="AH63" s="73">
        <f>'[1]All age Groups'!AM63</f>
        <v>112</v>
      </c>
      <c r="AI63" s="74">
        <f>'[1]All age Groups'!AN63</f>
        <v>112</v>
      </c>
      <c r="AJ63" s="73">
        <f>'[1]All age Groups'!AO63</f>
        <v>336</v>
      </c>
      <c r="AK63" s="74">
        <f>'[1]All age Groups'!AP63</f>
        <v>448</v>
      </c>
      <c r="AL63" s="75">
        <f t="shared" si="0"/>
        <v>36902</v>
      </c>
      <c r="AM63" s="75">
        <f t="shared" si="0"/>
        <v>37275</v>
      </c>
      <c r="AN63" s="76">
        <f t="shared" si="1"/>
        <v>74177</v>
      </c>
    </row>
    <row r="64" spans="1:40" x14ac:dyDescent="0.5">
      <c r="A64" s="71" t="str">
        <f>'[1]All age Groups'!C64</f>
        <v xml:space="preserve">Somaliland  </v>
      </c>
      <c r="B64" s="72" t="str">
        <f>'[1]All age Groups'!D64</f>
        <v>Awdal</v>
      </c>
      <c r="C64" s="72" t="str">
        <f>'[1]All age Groups'!E64</f>
        <v>Zeylac</v>
      </c>
      <c r="D64" s="73">
        <f>'[1]All age Groups'!I64</f>
        <v>6963</v>
      </c>
      <c r="E64" s="74">
        <f>'[1]All age Groups'!J64</f>
        <v>6446</v>
      </c>
      <c r="F64" s="73">
        <f>'[1]All age Groups'!K64</f>
        <v>6791</v>
      </c>
      <c r="G64" s="74">
        <f>'[1]All age Groups'!L64</f>
        <v>6136</v>
      </c>
      <c r="H64" s="73">
        <f>'[1]All age Groups'!M64</f>
        <v>5446</v>
      </c>
      <c r="I64" s="74">
        <f>'[1]All age Groups'!N64</f>
        <v>5171</v>
      </c>
      <c r="J64" s="73">
        <f>'[1]All age Groups'!O64</f>
        <v>3654</v>
      </c>
      <c r="K64" s="74">
        <f>'[1]All age Groups'!P64</f>
        <v>3757</v>
      </c>
      <c r="L64" s="73">
        <f>'[1]All age Groups'!Q64</f>
        <v>2034</v>
      </c>
      <c r="M64" s="74">
        <f>'[1]All age Groups'!R64</f>
        <v>2447</v>
      </c>
      <c r="N64" s="73">
        <f>'[1]All age Groups'!S64</f>
        <v>1655</v>
      </c>
      <c r="O64" s="74">
        <f>'[1]All age Groups'!T64</f>
        <v>2378</v>
      </c>
      <c r="P64" s="73">
        <f>'[1]All age Groups'!U64</f>
        <v>1517</v>
      </c>
      <c r="Q64" s="74">
        <f>'[1]All age Groups'!V64</f>
        <v>1758</v>
      </c>
      <c r="R64" s="73">
        <f>'[1]All age Groups'!W64</f>
        <v>1275</v>
      </c>
      <c r="S64" s="74">
        <f>'[1]All age Groups'!X64</f>
        <v>1517</v>
      </c>
      <c r="T64" s="73">
        <f>'[1]All age Groups'!Y64</f>
        <v>1172</v>
      </c>
      <c r="U64" s="74">
        <f>'[1]All age Groups'!Z64</f>
        <v>862</v>
      </c>
      <c r="V64" s="73">
        <f>'[1]All age Groups'!AA64</f>
        <v>655</v>
      </c>
      <c r="W64" s="74">
        <f>'[1]All age Groups'!AB64</f>
        <v>517</v>
      </c>
      <c r="X64" s="73">
        <f>'[1]All age Groups'!AC64</f>
        <v>896</v>
      </c>
      <c r="Y64" s="74">
        <f>'[1]All age Groups'!AD64</f>
        <v>1241</v>
      </c>
      <c r="Z64" s="73">
        <f>'[1]All age Groups'!AE64</f>
        <v>414</v>
      </c>
      <c r="AA64" s="74">
        <f>'[1]All age Groups'!AF64</f>
        <v>483</v>
      </c>
      <c r="AB64" s="73">
        <f>'[1]All age Groups'!AG64</f>
        <v>655</v>
      </c>
      <c r="AC64" s="74">
        <f>'[1]All age Groups'!AH64</f>
        <v>552</v>
      </c>
      <c r="AD64" s="73">
        <f>'[1]All age Groups'!AI64</f>
        <v>207</v>
      </c>
      <c r="AE64" s="74">
        <f>'[1]All age Groups'!AJ64</f>
        <v>241</v>
      </c>
      <c r="AF64" s="73">
        <f>'[1]All age Groups'!AK64</f>
        <v>345</v>
      </c>
      <c r="AG64" s="74">
        <f>'[1]All age Groups'!AL64</f>
        <v>414</v>
      </c>
      <c r="AH64" s="73">
        <f>'[1]All age Groups'!AM64</f>
        <v>103</v>
      </c>
      <c r="AI64" s="74">
        <f>'[1]All age Groups'!AN64</f>
        <v>103</v>
      </c>
      <c r="AJ64" s="73">
        <f>'[1]All age Groups'!AO64</f>
        <v>310</v>
      </c>
      <c r="AK64" s="74">
        <f>'[1]All age Groups'!AP64</f>
        <v>414</v>
      </c>
      <c r="AL64" s="75">
        <f t="shared" si="0"/>
        <v>34092</v>
      </c>
      <c r="AM64" s="75">
        <f t="shared" si="0"/>
        <v>34437</v>
      </c>
      <c r="AN64" s="76">
        <f t="shared" si="1"/>
        <v>68529</v>
      </c>
    </row>
    <row r="65" spans="1:40" x14ac:dyDescent="0.5">
      <c r="A65" s="71" t="str">
        <f>'[1]All age Groups'!C65</f>
        <v xml:space="preserve">Somaliland  </v>
      </c>
      <c r="B65" s="72" t="str">
        <f>'[1]All age Groups'!D65</f>
        <v>Sanaag</v>
      </c>
      <c r="C65" s="72" t="str">
        <f>'[1]All age Groups'!E65</f>
        <v>Ceel Afweyn</v>
      </c>
      <c r="D65" s="73">
        <f>'[1]All age Groups'!I65</f>
        <v>9740</v>
      </c>
      <c r="E65" s="74">
        <f>'[1]All age Groups'!J65</f>
        <v>9016</v>
      </c>
      <c r="F65" s="73">
        <f>'[1]All age Groups'!K65</f>
        <v>9499</v>
      </c>
      <c r="G65" s="74">
        <f>'[1]All age Groups'!L65</f>
        <v>8582</v>
      </c>
      <c r="H65" s="73">
        <f>'[1]All age Groups'!M65</f>
        <v>7618</v>
      </c>
      <c r="I65" s="74">
        <f>'[1]All age Groups'!N65</f>
        <v>7232</v>
      </c>
      <c r="J65" s="73">
        <f>'[1]All age Groups'!O65</f>
        <v>5111</v>
      </c>
      <c r="K65" s="74">
        <f>'[1]All age Groups'!P65</f>
        <v>5256</v>
      </c>
      <c r="L65" s="73">
        <f>'[1]All age Groups'!Q65</f>
        <v>2845</v>
      </c>
      <c r="M65" s="74">
        <f>'[1]All age Groups'!R65</f>
        <v>3423</v>
      </c>
      <c r="N65" s="73">
        <f>'[1]All age Groups'!S65</f>
        <v>2314</v>
      </c>
      <c r="O65" s="74">
        <f>'[1]All age Groups'!T65</f>
        <v>3327</v>
      </c>
      <c r="P65" s="73">
        <f>'[1]All age Groups'!U65</f>
        <v>2121</v>
      </c>
      <c r="Q65" s="74">
        <f>'[1]All age Groups'!V65</f>
        <v>2459</v>
      </c>
      <c r="R65" s="73">
        <f>'[1]All age Groups'!W65</f>
        <v>1784</v>
      </c>
      <c r="S65" s="74">
        <f>'[1]All age Groups'!X65</f>
        <v>2121</v>
      </c>
      <c r="T65" s="73">
        <f>'[1]All age Groups'!Y65</f>
        <v>1639</v>
      </c>
      <c r="U65" s="74">
        <f>'[1]All age Groups'!Z65</f>
        <v>1205</v>
      </c>
      <c r="V65" s="73">
        <f>'[1]All age Groups'!AA65</f>
        <v>916</v>
      </c>
      <c r="W65" s="74">
        <f>'[1]All age Groups'!AB65</f>
        <v>723</v>
      </c>
      <c r="X65" s="73">
        <f>'[1]All age Groups'!AC65</f>
        <v>1254</v>
      </c>
      <c r="Y65" s="74">
        <f>'[1]All age Groups'!AD65</f>
        <v>1736</v>
      </c>
      <c r="Z65" s="73">
        <f>'[1]All age Groups'!AE65</f>
        <v>579</v>
      </c>
      <c r="AA65" s="74">
        <f>'[1]All age Groups'!AF65</f>
        <v>675</v>
      </c>
      <c r="AB65" s="73">
        <f>'[1]All age Groups'!AG65</f>
        <v>916</v>
      </c>
      <c r="AC65" s="74">
        <f>'[1]All age Groups'!AH65</f>
        <v>771</v>
      </c>
      <c r="AD65" s="73">
        <f>'[1]All age Groups'!AI65</f>
        <v>289</v>
      </c>
      <c r="AE65" s="74">
        <f>'[1]All age Groups'!AJ65</f>
        <v>338</v>
      </c>
      <c r="AF65" s="73">
        <f>'[1]All age Groups'!AK65</f>
        <v>482</v>
      </c>
      <c r="AG65" s="74">
        <f>'[1]All age Groups'!AL65</f>
        <v>579</v>
      </c>
      <c r="AH65" s="73">
        <f>'[1]All age Groups'!AM65</f>
        <v>145</v>
      </c>
      <c r="AI65" s="74">
        <f>'[1]All age Groups'!AN65</f>
        <v>145</v>
      </c>
      <c r="AJ65" s="73">
        <f>'[1]All age Groups'!AO65</f>
        <v>434</v>
      </c>
      <c r="AK65" s="74">
        <f>'[1]All age Groups'!AP65</f>
        <v>579</v>
      </c>
      <c r="AL65" s="75">
        <f t="shared" si="0"/>
        <v>47686</v>
      </c>
      <c r="AM65" s="75">
        <f t="shared" si="0"/>
        <v>48167</v>
      </c>
      <c r="AN65" s="76">
        <f t="shared" si="1"/>
        <v>95853</v>
      </c>
    </row>
    <row r="66" spans="1:40" x14ac:dyDescent="0.5">
      <c r="A66" s="71" t="str">
        <f>'[1]All age Groups'!C66</f>
        <v xml:space="preserve">Somaliland  </v>
      </c>
      <c r="B66" s="72" t="str">
        <f>'[1]All age Groups'!D66</f>
        <v>Sanaag</v>
      </c>
      <c r="C66" s="72" t="str">
        <f>'[1]All age Groups'!E66</f>
        <v>Ceerigaabo</v>
      </c>
      <c r="D66" s="73">
        <f>'[1]All age Groups'!I66</f>
        <v>18581</v>
      </c>
      <c r="E66" s="74">
        <f>'[1]All age Groups'!J66</f>
        <v>17202</v>
      </c>
      <c r="F66" s="73">
        <f>'[1]All age Groups'!K66</f>
        <v>18122</v>
      </c>
      <c r="G66" s="74">
        <f>'[1]All age Groups'!L66</f>
        <v>16374</v>
      </c>
      <c r="H66" s="73">
        <f>'[1]All age Groups'!M66</f>
        <v>14534</v>
      </c>
      <c r="I66" s="74">
        <f>'[1]All age Groups'!N66</f>
        <v>13798</v>
      </c>
      <c r="J66" s="73">
        <f>'[1]All age Groups'!O66</f>
        <v>9751</v>
      </c>
      <c r="K66" s="74">
        <f>'[1]All age Groups'!P66</f>
        <v>10027</v>
      </c>
      <c r="L66" s="73">
        <f>'[1]All age Groups'!Q66</f>
        <v>5427</v>
      </c>
      <c r="M66" s="74">
        <f>'[1]All age Groups'!R66</f>
        <v>6531</v>
      </c>
      <c r="N66" s="73">
        <f>'[1]All age Groups'!S66</f>
        <v>4415</v>
      </c>
      <c r="O66" s="74">
        <f>'[1]All age Groups'!T66</f>
        <v>6347</v>
      </c>
      <c r="P66" s="73">
        <f>'[1]All age Groups'!U66</f>
        <v>4047</v>
      </c>
      <c r="Q66" s="74">
        <f>'[1]All age Groups'!V66</f>
        <v>4691</v>
      </c>
      <c r="R66" s="73">
        <f>'[1]All age Groups'!W66</f>
        <v>3404</v>
      </c>
      <c r="S66" s="74">
        <f>'[1]All age Groups'!X66</f>
        <v>4047</v>
      </c>
      <c r="T66" s="73">
        <f>'[1]All age Groups'!Y66</f>
        <v>3128</v>
      </c>
      <c r="U66" s="74">
        <f>'[1]All age Groups'!Z66</f>
        <v>2300</v>
      </c>
      <c r="V66" s="73">
        <f>'[1]All age Groups'!AA66</f>
        <v>1748</v>
      </c>
      <c r="W66" s="74">
        <f>'[1]All age Groups'!AB66</f>
        <v>1380</v>
      </c>
      <c r="X66" s="73">
        <f>'[1]All age Groups'!AC66</f>
        <v>2392</v>
      </c>
      <c r="Y66" s="74">
        <f>'[1]All age Groups'!AD66</f>
        <v>3312</v>
      </c>
      <c r="Z66" s="73">
        <f>'[1]All age Groups'!AE66</f>
        <v>1104</v>
      </c>
      <c r="AA66" s="74">
        <f>'[1]All age Groups'!AF66</f>
        <v>1288</v>
      </c>
      <c r="AB66" s="73">
        <f>'[1]All age Groups'!AG66</f>
        <v>1748</v>
      </c>
      <c r="AC66" s="74">
        <f>'[1]All age Groups'!AH66</f>
        <v>1472</v>
      </c>
      <c r="AD66" s="73">
        <f>'[1]All age Groups'!AI66</f>
        <v>552</v>
      </c>
      <c r="AE66" s="74">
        <f>'[1]All age Groups'!AJ66</f>
        <v>644</v>
      </c>
      <c r="AF66" s="73">
        <f>'[1]All age Groups'!AK66</f>
        <v>920</v>
      </c>
      <c r="AG66" s="74">
        <f>'[1]All age Groups'!AL66</f>
        <v>1104</v>
      </c>
      <c r="AH66" s="73">
        <f>'[1]All age Groups'!AM66</f>
        <v>276</v>
      </c>
      <c r="AI66" s="74">
        <f>'[1]All age Groups'!AN66</f>
        <v>276</v>
      </c>
      <c r="AJ66" s="73">
        <f>'[1]All age Groups'!AO66</f>
        <v>828</v>
      </c>
      <c r="AK66" s="74">
        <f>'[1]All age Groups'!AP66</f>
        <v>1104</v>
      </c>
      <c r="AL66" s="75">
        <f t="shared" si="0"/>
        <v>90977</v>
      </c>
      <c r="AM66" s="75">
        <f t="shared" si="0"/>
        <v>91897</v>
      </c>
      <c r="AN66" s="76">
        <f t="shared" si="1"/>
        <v>182874</v>
      </c>
    </row>
    <row r="67" spans="1:40" x14ac:dyDescent="0.5">
      <c r="A67" s="71" t="str">
        <f>'[1]All age Groups'!C67</f>
        <v xml:space="preserve">Somaliland  </v>
      </c>
      <c r="B67" s="72" t="str">
        <f>'[1]All age Groups'!D67</f>
        <v>Sanaag</v>
      </c>
      <c r="C67" s="72" t="str">
        <f>'[1]All age Groups'!E67</f>
        <v>Laasqoray</v>
      </c>
      <c r="D67" s="73">
        <f>'[1]All age Groups'!I67</f>
        <v>16594</v>
      </c>
      <c r="E67" s="74">
        <f>'[1]All age Groups'!J67</f>
        <v>15362</v>
      </c>
      <c r="F67" s="73">
        <f>'[1]All age Groups'!K67</f>
        <v>16183</v>
      </c>
      <c r="G67" s="74">
        <f>'[1]All age Groups'!L67</f>
        <v>14622</v>
      </c>
      <c r="H67" s="73">
        <f>'[1]All age Groups'!M67</f>
        <v>12979</v>
      </c>
      <c r="I67" s="74">
        <f>'[1]All age Groups'!N67</f>
        <v>12322</v>
      </c>
      <c r="J67" s="73">
        <f>'[1]All age Groups'!O67</f>
        <v>8708</v>
      </c>
      <c r="K67" s="74">
        <f>'[1]All age Groups'!P67</f>
        <v>8954</v>
      </c>
      <c r="L67" s="73">
        <f>'[1]All age Groups'!Q67</f>
        <v>4847</v>
      </c>
      <c r="M67" s="74">
        <f>'[1]All age Groups'!R67</f>
        <v>5832</v>
      </c>
      <c r="N67" s="73">
        <f>'[1]All age Groups'!S67</f>
        <v>3943</v>
      </c>
      <c r="O67" s="74">
        <f>'[1]All age Groups'!T67</f>
        <v>5668</v>
      </c>
      <c r="P67" s="73">
        <f>'[1]All age Groups'!U67</f>
        <v>3614</v>
      </c>
      <c r="Q67" s="74">
        <f>'[1]All age Groups'!V67</f>
        <v>4190</v>
      </c>
      <c r="R67" s="73">
        <f>'[1]All age Groups'!W67</f>
        <v>3039</v>
      </c>
      <c r="S67" s="74">
        <f>'[1]All age Groups'!X67</f>
        <v>3614</v>
      </c>
      <c r="T67" s="73">
        <f>'[1]All age Groups'!Y67</f>
        <v>2793</v>
      </c>
      <c r="U67" s="74">
        <f>'[1]All age Groups'!Z67</f>
        <v>2054</v>
      </c>
      <c r="V67" s="73">
        <f>'[1]All age Groups'!AA67</f>
        <v>1561</v>
      </c>
      <c r="W67" s="74">
        <f>'[1]All age Groups'!AB67</f>
        <v>1232</v>
      </c>
      <c r="X67" s="73">
        <f>'[1]All age Groups'!AC67</f>
        <v>2136</v>
      </c>
      <c r="Y67" s="74">
        <f>'[1]All age Groups'!AD67</f>
        <v>2957</v>
      </c>
      <c r="Z67" s="73">
        <f>'[1]All age Groups'!AE67</f>
        <v>986</v>
      </c>
      <c r="AA67" s="74">
        <f>'[1]All age Groups'!AF67</f>
        <v>1150</v>
      </c>
      <c r="AB67" s="73">
        <f>'[1]All age Groups'!AG67</f>
        <v>1561</v>
      </c>
      <c r="AC67" s="74">
        <f>'[1]All age Groups'!AH67</f>
        <v>1314</v>
      </c>
      <c r="AD67" s="73">
        <f>'[1]All age Groups'!AI67</f>
        <v>493</v>
      </c>
      <c r="AE67" s="74">
        <f>'[1]All age Groups'!AJ67</f>
        <v>575</v>
      </c>
      <c r="AF67" s="73">
        <f>'[1]All age Groups'!AK67</f>
        <v>821</v>
      </c>
      <c r="AG67" s="74">
        <f>'[1]All age Groups'!AL67</f>
        <v>986</v>
      </c>
      <c r="AH67" s="73">
        <f>'[1]All age Groups'!AM67</f>
        <v>246</v>
      </c>
      <c r="AI67" s="74">
        <f>'[1]All age Groups'!AN67</f>
        <v>246</v>
      </c>
      <c r="AJ67" s="73">
        <f>'[1]All age Groups'!AO67</f>
        <v>739</v>
      </c>
      <c r="AK67" s="74">
        <f>'[1]All age Groups'!AP67</f>
        <v>986</v>
      </c>
      <c r="AL67" s="75">
        <f t="shared" si="0"/>
        <v>81243</v>
      </c>
      <c r="AM67" s="75">
        <f t="shared" si="0"/>
        <v>82064</v>
      </c>
      <c r="AN67" s="76">
        <f t="shared" si="1"/>
        <v>163307</v>
      </c>
    </row>
    <row r="68" spans="1:40" x14ac:dyDescent="0.5">
      <c r="A68" s="71" t="str">
        <f>'[1]All age Groups'!C68</f>
        <v xml:space="preserve">Somaliland  </v>
      </c>
      <c r="B68" s="72" t="str">
        <f>'[1]All age Groups'!D68</f>
        <v>Sool</v>
      </c>
      <c r="C68" s="72" t="str">
        <f>'[1]All age Groups'!E68</f>
        <v>Caynabo</v>
      </c>
      <c r="D68" s="73">
        <f>'[1]All age Groups'!I68</f>
        <v>10077</v>
      </c>
      <c r="E68" s="74">
        <f>'[1]All age Groups'!J68</f>
        <v>9329</v>
      </c>
      <c r="F68" s="73">
        <f>'[1]All age Groups'!K68</f>
        <v>9828</v>
      </c>
      <c r="G68" s="74">
        <f>'[1]All age Groups'!L68</f>
        <v>8880</v>
      </c>
      <c r="H68" s="73">
        <f>'[1]All age Groups'!M68</f>
        <v>7882</v>
      </c>
      <c r="I68" s="74">
        <f>'[1]All age Groups'!N68</f>
        <v>7483</v>
      </c>
      <c r="J68" s="73">
        <f>'[1]All age Groups'!O68</f>
        <v>5288</v>
      </c>
      <c r="K68" s="74">
        <f>'[1]All age Groups'!P68</f>
        <v>5438</v>
      </c>
      <c r="L68" s="73">
        <f>'[1]All age Groups'!Q68</f>
        <v>2943</v>
      </c>
      <c r="M68" s="74">
        <f>'[1]All age Groups'!R68</f>
        <v>3542</v>
      </c>
      <c r="N68" s="73">
        <f>'[1]All age Groups'!S68</f>
        <v>2395</v>
      </c>
      <c r="O68" s="74">
        <f>'[1]All age Groups'!T68</f>
        <v>3442</v>
      </c>
      <c r="P68" s="73">
        <f>'[1]All age Groups'!U68</f>
        <v>2195</v>
      </c>
      <c r="Q68" s="74">
        <f>'[1]All age Groups'!V68</f>
        <v>2544</v>
      </c>
      <c r="R68" s="73">
        <f>'[1]All age Groups'!W68</f>
        <v>1846</v>
      </c>
      <c r="S68" s="74">
        <f>'[1]All age Groups'!X68</f>
        <v>2195</v>
      </c>
      <c r="T68" s="73">
        <f>'[1]All age Groups'!Y68</f>
        <v>1696</v>
      </c>
      <c r="U68" s="74">
        <f>'[1]All age Groups'!Z68</f>
        <v>1247</v>
      </c>
      <c r="V68" s="73">
        <f>'[1]All age Groups'!AA68</f>
        <v>948</v>
      </c>
      <c r="W68" s="74">
        <f>'[1]All age Groups'!AB68</f>
        <v>748</v>
      </c>
      <c r="X68" s="73">
        <f>'[1]All age Groups'!AC68</f>
        <v>1297</v>
      </c>
      <c r="Y68" s="74">
        <f>'[1]All age Groups'!AD68</f>
        <v>1796</v>
      </c>
      <c r="Z68" s="73">
        <f>'[1]All age Groups'!AE68</f>
        <v>599</v>
      </c>
      <c r="AA68" s="74">
        <f>'[1]All age Groups'!AF68</f>
        <v>698</v>
      </c>
      <c r="AB68" s="73">
        <f>'[1]All age Groups'!AG68</f>
        <v>948</v>
      </c>
      <c r="AC68" s="74">
        <f>'[1]All age Groups'!AH68</f>
        <v>798</v>
      </c>
      <c r="AD68" s="73">
        <f>'[1]All age Groups'!AI68</f>
        <v>299</v>
      </c>
      <c r="AE68" s="74">
        <f>'[1]All age Groups'!AJ68</f>
        <v>349</v>
      </c>
      <c r="AF68" s="73">
        <f>'[1]All age Groups'!AK68</f>
        <v>499</v>
      </c>
      <c r="AG68" s="74">
        <f>'[1]All age Groups'!AL68</f>
        <v>599</v>
      </c>
      <c r="AH68" s="73">
        <f>'[1]All age Groups'!AM68</f>
        <v>150</v>
      </c>
      <c r="AI68" s="74">
        <f>'[1]All age Groups'!AN68</f>
        <v>150</v>
      </c>
      <c r="AJ68" s="73">
        <f>'[1]All age Groups'!AO68</f>
        <v>449</v>
      </c>
      <c r="AK68" s="74">
        <f>'[1]All age Groups'!AP68</f>
        <v>599</v>
      </c>
      <c r="AL68" s="75">
        <f t="shared" si="0"/>
        <v>49339</v>
      </c>
      <c r="AM68" s="75">
        <f t="shared" si="0"/>
        <v>49837</v>
      </c>
      <c r="AN68" s="76">
        <f t="shared" si="1"/>
        <v>99176</v>
      </c>
    </row>
    <row r="69" spans="1:40" x14ac:dyDescent="0.5">
      <c r="A69" s="71" t="str">
        <f>'[1]All age Groups'!C69</f>
        <v xml:space="preserve">Somaliland  </v>
      </c>
      <c r="B69" s="72" t="str">
        <f>'[1]All age Groups'!D69</f>
        <v>Sool</v>
      </c>
      <c r="C69" s="72" t="str">
        <f>'[1]All age Groups'!E69</f>
        <v>Laas Caanood</v>
      </c>
      <c r="D69" s="73">
        <f>'[1]All age Groups'!I69</f>
        <v>27672</v>
      </c>
      <c r="E69" s="74">
        <f>'[1]All age Groups'!J69</f>
        <v>25617</v>
      </c>
      <c r="F69" s="73">
        <f>'[1]All age Groups'!K69</f>
        <v>26987</v>
      </c>
      <c r="G69" s="74">
        <f>'[1]All age Groups'!L69</f>
        <v>24384</v>
      </c>
      <c r="H69" s="73">
        <f>'[1]All age Groups'!M69</f>
        <v>21644</v>
      </c>
      <c r="I69" s="74">
        <f>'[1]All age Groups'!N69</f>
        <v>20548</v>
      </c>
      <c r="J69" s="73">
        <f>'[1]All age Groups'!O69</f>
        <v>14521</v>
      </c>
      <c r="K69" s="74">
        <f>'[1]All age Groups'!P69</f>
        <v>14932</v>
      </c>
      <c r="L69" s="73">
        <f>'[1]All age Groups'!Q69</f>
        <v>8082</v>
      </c>
      <c r="M69" s="74">
        <f>'[1]All age Groups'!R69</f>
        <v>9726</v>
      </c>
      <c r="N69" s="73">
        <f>'[1]All age Groups'!S69</f>
        <v>6576</v>
      </c>
      <c r="O69" s="74">
        <f>'[1]All age Groups'!T69</f>
        <v>9452</v>
      </c>
      <c r="P69" s="73">
        <f>'[1]All age Groups'!U69</f>
        <v>6028</v>
      </c>
      <c r="Q69" s="74">
        <f>'[1]All age Groups'!V69</f>
        <v>6986</v>
      </c>
      <c r="R69" s="73">
        <f>'[1]All age Groups'!W69</f>
        <v>5069</v>
      </c>
      <c r="S69" s="74">
        <f>'[1]All age Groups'!X69</f>
        <v>6028</v>
      </c>
      <c r="T69" s="73">
        <f>'[1]All age Groups'!Y69</f>
        <v>4658</v>
      </c>
      <c r="U69" s="74">
        <f>'[1]All age Groups'!Z69</f>
        <v>3425</v>
      </c>
      <c r="V69" s="73">
        <f>'[1]All age Groups'!AA69</f>
        <v>2603</v>
      </c>
      <c r="W69" s="74">
        <f>'[1]All age Groups'!AB69</f>
        <v>2055</v>
      </c>
      <c r="X69" s="73">
        <f>'[1]All age Groups'!AC69</f>
        <v>3562</v>
      </c>
      <c r="Y69" s="74">
        <f>'[1]All age Groups'!AD69</f>
        <v>4932</v>
      </c>
      <c r="Z69" s="73">
        <f>'[1]All age Groups'!AE69</f>
        <v>1644</v>
      </c>
      <c r="AA69" s="74">
        <f>'[1]All age Groups'!AF69</f>
        <v>1918</v>
      </c>
      <c r="AB69" s="73">
        <f>'[1]All age Groups'!AG69</f>
        <v>2603</v>
      </c>
      <c r="AC69" s="74">
        <f>'[1]All age Groups'!AH69</f>
        <v>2192</v>
      </c>
      <c r="AD69" s="73">
        <f>'[1]All age Groups'!AI69</f>
        <v>822</v>
      </c>
      <c r="AE69" s="74">
        <f>'[1]All age Groups'!AJ69</f>
        <v>959</v>
      </c>
      <c r="AF69" s="73">
        <f>'[1]All age Groups'!AK69</f>
        <v>1370</v>
      </c>
      <c r="AG69" s="74">
        <f>'[1]All age Groups'!AL69</f>
        <v>1644</v>
      </c>
      <c r="AH69" s="73">
        <f>'[1]All age Groups'!AM69</f>
        <v>411</v>
      </c>
      <c r="AI69" s="74">
        <f>'[1]All age Groups'!AN69</f>
        <v>411</v>
      </c>
      <c r="AJ69" s="73">
        <f>'[1]All age Groups'!AO69</f>
        <v>1233</v>
      </c>
      <c r="AK69" s="74">
        <f>'[1]All age Groups'!AP69</f>
        <v>1644</v>
      </c>
      <c r="AL69" s="75">
        <f t="shared" ref="AL69:AM94" si="2">SUM(D69,F69,H69,J69,L69,N69,P69,R69,T69,V69,X69,Z69,AB69,AD69,AF69,AH69,AJ69)</f>
        <v>135485</v>
      </c>
      <c r="AM69" s="75">
        <f t="shared" si="2"/>
        <v>136853</v>
      </c>
      <c r="AN69" s="76">
        <f t="shared" ref="AN69:AN94" si="3">AL69+AM69</f>
        <v>272338</v>
      </c>
    </row>
    <row r="70" spans="1:40" x14ac:dyDescent="0.5">
      <c r="A70" s="71" t="str">
        <f>'[1]All age Groups'!C70</f>
        <v xml:space="preserve">Somaliland  </v>
      </c>
      <c r="B70" s="72" t="str">
        <f>'[1]All age Groups'!D70</f>
        <v>Sool</v>
      </c>
      <c r="C70" s="72" t="str">
        <f>'[1]All age Groups'!E70</f>
        <v>Taleex</v>
      </c>
      <c r="D70" s="73">
        <f>'[1]All age Groups'!I70</f>
        <v>9725</v>
      </c>
      <c r="E70" s="74">
        <f>'[1]All age Groups'!J70</f>
        <v>9003</v>
      </c>
      <c r="F70" s="73">
        <f>'[1]All age Groups'!K70</f>
        <v>9484</v>
      </c>
      <c r="G70" s="74">
        <f>'[1]All age Groups'!L70</f>
        <v>8570</v>
      </c>
      <c r="H70" s="73">
        <f>'[1]All age Groups'!M70</f>
        <v>7607</v>
      </c>
      <c r="I70" s="74">
        <f>'[1]All age Groups'!N70</f>
        <v>7222</v>
      </c>
      <c r="J70" s="73">
        <f>'[1]All age Groups'!O70</f>
        <v>5103</v>
      </c>
      <c r="K70" s="74">
        <f>'[1]All age Groups'!P70</f>
        <v>5248</v>
      </c>
      <c r="L70" s="73">
        <f>'[1]All age Groups'!Q70</f>
        <v>2840</v>
      </c>
      <c r="M70" s="74">
        <f>'[1]All age Groups'!R70</f>
        <v>3418</v>
      </c>
      <c r="N70" s="73">
        <f>'[1]All age Groups'!S70</f>
        <v>2311</v>
      </c>
      <c r="O70" s="74">
        <f>'[1]All age Groups'!T70</f>
        <v>3322</v>
      </c>
      <c r="P70" s="73">
        <f>'[1]All age Groups'!U70</f>
        <v>2118</v>
      </c>
      <c r="Q70" s="74">
        <f>'[1]All age Groups'!V70</f>
        <v>2455</v>
      </c>
      <c r="R70" s="73">
        <f>'[1]All age Groups'!W70</f>
        <v>1781</v>
      </c>
      <c r="S70" s="74">
        <f>'[1]All age Groups'!X70</f>
        <v>2118</v>
      </c>
      <c r="T70" s="73">
        <f>'[1]All age Groups'!Y70</f>
        <v>1637</v>
      </c>
      <c r="U70" s="74">
        <f>'[1]All age Groups'!Z70</f>
        <v>1204</v>
      </c>
      <c r="V70" s="73">
        <f>'[1]All age Groups'!AA70</f>
        <v>915</v>
      </c>
      <c r="W70" s="74">
        <f>'[1]All age Groups'!AB70</f>
        <v>722</v>
      </c>
      <c r="X70" s="73">
        <f>'[1]All age Groups'!AC70</f>
        <v>1252</v>
      </c>
      <c r="Y70" s="74">
        <f>'[1]All age Groups'!AD70</f>
        <v>1733</v>
      </c>
      <c r="Z70" s="73">
        <f>'[1]All age Groups'!AE70</f>
        <v>578</v>
      </c>
      <c r="AA70" s="74">
        <f>'[1]All age Groups'!AF70</f>
        <v>674</v>
      </c>
      <c r="AB70" s="73">
        <f>'[1]All age Groups'!AG70</f>
        <v>915</v>
      </c>
      <c r="AC70" s="74">
        <f>'[1]All age Groups'!AH70</f>
        <v>770</v>
      </c>
      <c r="AD70" s="73">
        <f>'[1]All age Groups'!AI70</f>
        <v>289</v>
      </c>
      <c r="AE70" s="74">
        <f>'[1]All age Groups'!AJ70</f>
        <v>337</v>
      </c>
      <c r="AF70" s="73">
        <f>'[1]All age Groups'!AK70</f>
        <v>481</v>
      </c>
      <c r="AG70" s="74">
        <f>'[1]All age Groups'!AL70</f>
        <v>578</v>
      </c>
      <c r="AH70" s="73">
        <f>'[1]All age Groups'!AM70</f>
        <v>144</v>
      </c>
      <c r="AI70" s="74">
        <f>'[1]All age Groups'!AN70</f>
        <v>144</v>
      </c>
      <c r="AJ70" s="73">
        <f>'[1]All age Groups'!AO70</f>
        <v>433</v>
      </c>
      <c r="AK70" s="74">
        <f>'[1]All age Groups'!AP70</f>
        <v>578</v>
      </c>
      <c r="AL70" s="75">
        <f t="shared" si="2"/>
        <v>47613</v>
      </c>
      <c r="AM70" s="75">
        <f t="shared" si="2"/>
        <v>48096</v>
      </c>
      <c r="AN70" s="76">
        <f t="shared" si="3"/>
        <v>95709</v>
      </c>
    </row>
    <row r="71" spans="1:40" x14ac:dyDescent="0.5">
      <c r="A71" s="71" t="str">
        <f>'[1]All age Groups'!C71</f>
        <v xml:space="preserve">Somaliland  </v>
      </c>
      <c r="B71" s="72" t="str">
        <f>'[1]All age Groups'!D71</f>
        <v>Sool</v>
      </c>
      <c r="C71" s="72" t="str">
        <f>'[1]All age Groups'!E71</f>
        <v>Xudun</v>
      </c>
      <c r="D71" s="73">
        <f>'[1]All age Groups'!I71</f>
        <v>10042</v>
      </c>
      <c r="E71" s="74">
        <f>'[1]All age Groups'!J71</f>
        <v>9296</v>
      </c>
      <c r="F71" s="73">
        <f>'[1]All age Groups'!K71</f>
        <v>9793</v>
      </c>
      <c r="G71" s="74">
        <f>'[1]All age Groups'!L71</f>
        <v>8849</v>
      </c>
      <c r="H71" s="73">
        <f>'[1]All age Groups'!M71</f>
        <v>7855</v>
      </c>
      <c r="I71" s="74">
        <f>'[1]All age Groups'!N71</f>
        <v>7457</v>
      </c>
      <c r="J71" s="73">
        <f>'[1]All age Groups'!O71</f>
        <v>5270</v>
      </c>
      <c r="K71" s="74">
        <f>'[1]All age Groups'!P71</f>
        <v>5419</v>
      </c>
      <c r="L71" s="73">
        <f>'[1]All age Groups'!Q71</f>
        <v>2933</v>
      </c>
      <c r="M71" s="74">
        <f>'[1]All age Groups'!R71</f>
        <v>3530</v>
      </c>
      <c r="N71" s="73">
        <f>'[1]All age Groups'!S71</f>
        <v>2386</v>
      </c>
      <c r="O71" s="74">
        <f>'[1]All age Groups'!T71</f>
        <v>3430</v>
      </c>
      <c r="P71" s="73">
        <f>'[1]All age Groups'!U71</f>
        <v>2187</v>
      </c>
      <c r="Q71" s="74">
        <f>'[1]All age Groups'!V71</f>
        <v>2535</v>
      </c>
      <c r="R71" s="73">
        <f>'[1]All age Groups'!W71</f>
        <v>1839</v>
      </c>
      <c r="S71" s="74">
        <f>'[1]All age Groups'!X71</f>
        <v>2187</v>
      </c>
      <c r="T71" s="73">
        <f>'[1]All age Groups'!Y71</f>
        <v>1690</v>
      </c>
      <c r="U71" s="74">
        <f>'[1]All age Groups'!Z71</f>
        <v>1243</v>
      </c>
      <c r="V71" s="73">
        <f>'[1]All age Groups'!AA71</f>
        <v>945</v>
      </c>
      <c r="W71" s="74">
        <f>'[1]All age Groups'!AB71</f>
        <v>746</v>
      </c>
      <c r="X71" s="73">
        <f>'[1]All age Groups'!AC71</f>
        <v>1293</v>
      </c>
      <c r="Y71" s="74">
        <f>'[1]All age Groups'!AD71</f>
        <v>1790</v>
      </c>
      <c r="Z71" s="73">
        <f>'[1]All age Groups'!AE71</f>
        <v>597</v>
      </c>
      <c r="AA71" s="74">
        <f>'[1]All age Groups'!AF71</f>
        <v>696</v>
      </c>
      <c r="AB71" s="73">
        <f>'[1]All age Groups'!AG71</f>
        <v>945</v>
      </c>
      <c r="AC71" s="74">
        <f>'[1]All age Groups'!AH71</f>
        <v>795</v>
      </c>
      <c r="AD71" s="73">
        <f>'[1]All age Groups'!AI71</f>
        <v>298</v>
      </c>
      <c r="AE71" s="74">
        <f>'[1]All age Groups'!AJ71</f>
        <v>348</v>
      </c>
      <c r="AF71" s="73">
        <f>'[1]All age Groups'!AK71</f>
        <v>497</v>
      </c>
      <c r="AG71" s="74">
        <f>'[1]All age Groups'!AL71</f>
        <v>597</v>
      </c>
      <c r="AH71" s="73">
        <f>'[1]All age Groups'!AM71</f>
        <v>149</v>
      </c>
      <c r="AI71" s="74">
        <f>'[1]All age Groups'!AN71</f>
        <v>149</v>
      </c>
      <c r="AJ71" s="73">
        <f>'[1]All age Groups'!AO71</f>
        <v>447</v>
      </c>
      <c r="AK71" s="74">
        <f>'[1]All age Groups'!AP71</f>
        <v>597</v>
      </c>
      <c r="AL71" s="75">
        <f t="shared" si="2"/>
        <v>49166</v>
      </c>
      <c r="AM71" s="75">
        <f t="shared" si="2"/>
        <v>49664</v>
      </c>
      <c r="AN71" s="76">
        <f t="shared" si="3"/>
        <v>98830</v>
      </c>
    </row>
    <row r="72" spans="1:40" x14ac:dyDescent="0.5">
      <c r="A72" s="71" t="str">
        <f>'[1]All age Groups'!C72</f>
        <v xml:space="preserve">Somaliland  </v>
      </c>
      <c r="B72" s="72" t="str">
        <f>'[1]All age Groups'!D72</f>
        <v>Togdheer</v>
      </c>
      <c r="C72" s="72" t="str">
        <f>'[1]All age Groups'!E72</f>
        <v>Burco</v>
      </c>
      <c r="D72" s="73">
        <f>'[1]All age Groups'!I72</f>
        <v>54523</v>
      </c>
      <c r="E72" s="74">
        <f>'[1]All age Groups'!J72</f>
        <v>50475</v>
      </c>
      <c r="F72" s="73">
        <f>'[1]All age Groups'!K72</f>
        <v>53174</v>
      </c>
      <c r="G72" s="74">
        <f>'[1]All age Groups'!L72</f>
        <v>48045</v>
      </c>
      <c r="H72" s="73">
        <f>'[1]All age Groups'!M72</f>
        <v>42647</v>
      </c>
      <c r="I72" s="74">
        <f>'[1]All age Groups'!N72</f>
        <v>40488</v>
      </c>
      <c r="J72" s="73">
        <f>'[1]All age Groups'!O72</f>
        <v>28611</v>
      </c>
      <c r="K72" s="74">
        <f>'[1]All age Groups'!P72</f>
        <v>29421</v>
      </c>
      <c r="L72" s="73">
        <f>'[1]All age Groups'!Q72</f>
        <v>15925</v>
      </c>
      <c r="M72" s="74">
        <f>'[1]All age Groups'!R72</f>
        <v>19164</v>
      </c>
      <c r="N72" s="73">
        <f>'[1]All age Groups'!S72</f>
        <v>12956</v>
      </c>
      <c r="O72" s="74">
        <f>'[1]All age Groups'!T72</f>
        <v>18624</v>
      </c>
      <c r="P72" s="73">
        <f>'[1]All age Groups'!U72</f>
        <v>11876</v>
      </c>
      <c r="Q72" s="74">
        <f>'[1]All age Groups'!V72</f>
        <v>13766</v>
      </c>
      <c r="R72" s="73">
        <f>'[1]All age Groups'!W72</f>
        <v>9987</v>
      </c>
      <c r="S72" s="74">
        <f>'[1]All age Groups'!X72</f>
        <v>11876</v>
      </c>
      <c r="T72" s="73">
        <f>'[1]All age Groups'!Y72</f>
        <v>9177</v>
      </c>
      <c r="U72" s="74">
        <f>'[1]All age Groups'!Z72</f>
        <v>6748</v>
      </c>
      <c r="V72" s="73">
        <f>'[1]All age Groups'!AA72</f>
        <v>5128</v>
      </c>
      <c r="W72" s="74">
        <f>'[1]All age Groups'!AB72</f>
        <v>4049</v>
      </c>
      <c r="X72" s="73">
        <f>'[1]All age Groups'!AC72</f>
        <v>7018</v>
      </c>
      <c r="Y72" s="74">
        <f>'[1]All age Groups'!AD72</f>
        <v>9717</v>
      </c>
      <c r="Z72" s="73">
        <f>'[1]All age Groups'!AE72</f>
        <v>3239</v>
      </c>
      <c r="AA72" s="74">
        <f>'[1]All age Groups'!AF72</f>
        <v>3779</v>
      </c>
      <c r="AB72" s="73">
        <f>'[1]All age Groups'!AG72</f>
        <v>5128</v>
      </c>
      <c r="AC72" s="74">
        <f>'[1]All age Groups'!AH72</f>
        <v>4319</v>
      </c>
      <c r="AD72" s="73">
        <f>'[1]All age Groups'!AI72</f>
        <v>1620</v>
      </c>
      <c r="AE72" s="74">
        <f>'[1]All age Groups'!AJ72</f>
        <v>1889</v>
      </c>
      <c r="AF72" s="73">
        <f>'[1]All age Groups'!AK72</f>
        <v>2699</v>
      </c>
      <c r="AG72" s="74">
        <f>'[1]All age Groups'!AL72</f>
        <v>3239</v>
      </c>
      <c r="AH72" s="73">
        <f>'[1]All age Groups'!AM72</f>
        <v>810</v>
      </c>
      <c r="AI72" s="74">
        <f>'[1]All age Groups'!AN72</f>
        <v>810</v>
      </c>
      <c r="AJ72" s="73">
        <f>'[1]All age Groups'!AO72</f>
        <v>2429</v>
      </c>
      <c r="AK72" s="74">
        <f>'[1]All age Groups'!AP72</f>
        <v>3239</v>
      </c>
      <c r="AL72" s="75">
        <f t="shared" si="2"/>
        <v>266947</v>
      </c>
      <c r="AM72" s="75">
        <f t="shared" si="2"/>
        <v>269648</v>
      </c>
      <c r="AN72" s="76">
        <f t="shared" si="3"/>
        <v>536595</v>
      </c>
    </row>
    <row r="73" spans="1:40" x14ac:dyDescent="0.5">
      <c r="A73" s="71" t="str">
        <f>'[1]All age Groups'!C73</f>
        <v xml:space="preserve">Somaliland  </v>
      </c>
      <c r="B73" s="72" t="str">
        <f>'[1]All age Groups'!D73</f>
        <v>Togdheer</v>
      </c>
      <c r="C73" s="72" t="str">
        <f>'[1]All age Groups'!E73</f>
        <v>Buuhoodle</v>
      </c>
      <c r="D73" s="73">
        <f>'[1]All age Groups'!I73</f>
        <v>10203</v>
      </c>
      <c r="E73" s="74">
        <f>'[1]All age Groups'!J73</f>
        <v>9446</v>
      </c>
      <c r="F73" s="73">
        <f>'[1]All age Groups'!K73</f>
        <v>9951</v>
      </c>
      <c r="G73" s="74">
        <f>'[1]All age Groups'!L73</f>
        <v>8991</v>
      </c>
      <c r="H73" s="73">
        <f>'[1]All age Groups'!M73</f>
        <v>7981</v>
      </c>
      <c r="I73" s="74">
        <f>'[1]All age Groups'!N73</f>
        <v>7577</v>
      </c>
      <c r="J73" s="73">
        <f>'[1]All age Groups'!O73</f>
        <v>5354</v>
      </c>
      <c r="K73" s="74">
        <f>'[1]All age Groups'!P73</f>
        <v>5506</v>
      </c>
      <c r="L73" s="73">
        <f>'[1]All age Groups'!Q73</f>
        <v>2980</v>
      </c>
      <c r="M73" s="74">
        <f>'[1]All age Groups'!R73</f>
        <v>3586</v>
      </c>
      <c r="N73" s="73">
        <f>'[1]All age Groups'!S73</f>
        <v>2425</v>
      </c>
      <c r="O73" s="74">
        <f>'[1]All age Groups'!T73</f>
        <v>3485</v>
      </c>
      <c r="P73" s="73">
        <f>'[1]All age Groups'!U73</f>
        <v>2223</v>
      </c>
      <c r="Q73" s="74">
        <f>'[1]All age Groups'!V73</f>
        <v>2576</v>
      </c>
      <c r="R73" s="73">
        <f>'[1]All age Groups'!W73</f>
        <v>1869</v>
      </c>
      <c r="S73" s="74">
        <f>'[1]All age Groups'!X73</f>
        <v>2223</v>
      </c>
      <c r="T73" s="73">
        <f>'[1]All age Groups'!Y73</f>
        <v>1717</v>
      </c>
      <c r="U73" s="74">
        <f>'[1]All age Groups'!Z73</f>
        <v>1263</v>
      </c>
      <c r="V73" s="73">
        <f>'[1]All age Groups'!AA73</f>
        <v>960</v>
      </c>
      <c r="W73" s="74">
        <f>'[1]All age Groups'!AB73</f>
        <v>758</v>
      </c>
      <c r="X73" s="73">
        <f>'[1]All age Groups'!AC73</f>
        <v>1313</v>
      </c>
      <c r="Y73" s="74">
        <f>'[1]All age Groups'!AD73</f>
        <v>1818</v>
      </c>
      <c r="Z73" s="73">
        <f>'[1]All age Groups'!AE73</f>
        <v>606</v>
      </c>
      <c r="AA73" s="74">
        <f>'[1]All age Groups'!AF73</f>
        <v>707</v>
      </c>
      <c r="AB73" s="73">
        <f>'[1]All age Groups'!AG73</f>
        <v>960</v>
      </c>
      <c r="AC73" s="74">
        <f>'[1]All age Groups'!AH73</f>
        <v>808</v>
      </c>
      <c r="AD73" s="73">
        <f>'[1]All age Groups'!AI73</f>
        <v>303</v>
      </c>
      <c r="AE73" s="74">
        <f>'[1]All age Groups'!AJ73</f>
        <v>354</v>
      </c>
      <c r="AF73" s="73">
        <f>'[1]All age Groups'!AK73</f>
        <v>505</v>
      </c>
      <c r="AG73" s="74">
        <f>'[1]All age Groups'!AL73</f>
        <v>606</v>
      </c>
      <c r="AH73" s="73">
        <f>'[1]All age Groups'!AM73</f>
        <v>152</v>
      </c>
      <c r="AI73" s="74">
        <f>'[1]All age Groups'!AN73</f>
        <v>152</v>
      </c>
      <c r="AJ73" s="73">
        <f>'[1]All age Groups'!AO73</f>
        <v>455</v>
      </c>
      <c r="AK73" s="74">
        <f>'[1]All age Groups'!AP73</f>
        <v>606</v>
      </c>
      <c r="AL73" s="75">
        <f t="shared" si="2"/>
        <v>49957</v>
      </c>
      <c r="AM73" s="75">
        <f t="shared" si="2"/>
        <v>50462</v>
      </c>
      <c r="AN73" s="76">
        <f t="shared" si="3"/>
        <v>100419</v>
      </c>
    </row>
    <row r="74" spans="1:40" x14ac:dyDescent="0.5">
      <c r="A74" s="71" t="str">
        <f>'[1]All age Groups'!C74</f>
        <v xml:space="preserve">Somaliland  </v>
      </c>
      <c r="B74" s="72" t="str">
        <f>'[1]All age Groups'!D74</f>
        <v>Togdheer</v>
      </c>
      <c r="C74" s="72" t="str">
        <f>'[1]All age Groups'!E74</f>
        <v>Owdweyne</v>
      </c>
      <c r="D74" s="73">
        <f>'[1]All age Groups'!I74</f>
        <v>10264</v>
      </c>
      <c r="E74" s="74">
        <f>'[1]All age Groups'!J74</f>
        <v>9502</v>
      </c>
      <c r="F74" s="73">
        <f>'[1]All age Groups'!K74</f>
        <v>10010</v>
      </c>
      <c r="G74" s="74">
        <f>'[1]All age Groups'!L74</f>
        <v>9044</v>
      </c>
      <c r="H74" s="73">
        <f>'[1]All age Groups'!M74</f>
        <v>8028</v>
      </c>
      <c r="I74" s="74">
        <f>'[1]All age Groups'!N74</f>
        <v>7622</v>
      </c>
      <c r="J74" s="73">
        <f>'[1]All age Groups'!O74</f>
        <v>5386</v>
      </c>
      <c r="K74" s="74">
        <f>'[1]All age Groups'!P74</f>
        <v>5538</v>
      </c>
      <c r="L74" s="73">
        <f>'[1]All age Groups'!Q74</f>
        <v>2998</v>
      </c>
      <c r="M74" s="74">
        <f>'[1]All age Groups'!R74</f>
        <v>3608</v>
      </c>
      <c r="N74" s="73">
        <f>'[1]All age Groups'!S74</f>
        <v>2439</v>
      </c>
      <c r="O74" s="74">
        <f>'[1]All age Groups'!T74</f>
        <v>3506</v>
      </c>
      <c r="P74" s="73">
        <f>'[1]All age Groups'!U74</f>
        <v>2236</v>
      </c>
      <c r="Q74" s="74">
        <f>'[1]All age Groups'!V74</f>
        <v>2591</v>
      </c>
      <c r="R74" s="73">
        <f>'[1]All age Groups'!W74</f>
        <v>1880</v>
      </c>
      <c r="S74" s="74">
        <f>'[1]All age Groups'!X74</f>
        <v>2236</v>
      </c>
      <c r="T74" s="73">
        <f>'[1]All age Groups'!Y74</f>
        <v>1728</v>
      </c>
      <c r="U74" s="74">
        <f>'[1]All age Groups'!Z74</f>
        <v>1270</v>
      </c>
      <c r="V74" s="73">
        <f>'[1]All age Groups'!AA74</f>
        <v>965</v>
      </c>
      <c r="W74" s="74">
        <f>'[1]All age Groups'!AB74</f>
        <v>762</v>
      </c>
      <c r="X74" s="73">
        <f>'[1]All age Groups'!AC74</f>
        <v>1321</v>
      </c>
      <c r="Y74" s="74">
        <f>'[1]All age Groups'!AD74</f>
        <v>1829</v>
      </c>
      <c r="Z74" s="73">
        <f>'[1]All age Groups'!AE74</f>
        <v>610</v>
      </c>
      <c r="AA74" s="74">
        <f>'[1]All age Groups'!AF74</f>
        <v>711</v>
      </c>
      <c r="AB74" s="73">
        <f>'[1]All age Groups'!AG74</f>
        <v>965</v>
      </c>
      <c r="AC74" s="74">
        <f>'[1]All age Groups'!AH74</f>
        <v>813</v>
      </c>
      <c r="AD74" s="73">
        <f>'[1]All age Groups'!AI74</f>
        <v>305</v>
      </c>
      <c r="AE74" s="74">
        <f>'[1]All age Groups'!AJ74</f>
        <v>356</v>
      </c>
      <c r="AF74" s="73">
        <f>'[1]All age Groups'!AK74</f>
        <v>508</v>
      </c>
      <c r="AG74" s="74">
        <f>'[1]All age Groups'!AL74</f>
        <v>610</v>
      </c>
      <c r="AH74" s="73">
        <f>'[1]All age Groups'!AM74</f>
        <v>152</v>
      </c>
      <c r="AI74" s="74">
        <f>'[1]All age Groups'!AN74</f>
        <v>152</v>
      </c>
      <c r="AJ74" s="73">
        <f>'[1]All age Groups'!AO74</f>
        <v>457</v>
      </c>
      <c r="AK74" s="74">
        <f>'[1]All age Groups'!AP74</f>
        <v>610</v>
      </c>
      <c r="AL74" s="75">
        <f t="shared" si="2"/>
        <v>50252</v>
      </c>
      <c r="AM74" s="75">
        <f t="shared" si="2"/>
        <v>50760</v>
      </c>
      <c r="AN74" s="76">
        <f t="shared" si="3"/>
        <v>101012</v>
      </c>
    </row>
    <row r="75" spans="1:40" x14ac:dyDescent="0.5">
      <c r="A75" s="71" t="str">
        <f>'[1]All age Groups'!C75</f>
        <v xml:space="preserve">Somaliland  </v>
      </c>
      <c r="B75" s="72" t="str">
        <f>'[1]All age Groups'!D75</f>
        <v>Togdheer</v>
      </c>
      <c r="C75" s="72" t="str">
        <f>'[1]All age Groups'!E75</f>
        <v>Sheikh</v>
      </c>
      <c r="D75" s="73">
        <f>'[1]All age Groups'!I75</f>
        <v>15183</v>
      </c>
      <c r="E75" s="74">
        <f>'[1]All age Groups'!J75</f>
        <v>14056</v>
      </c>
      <c r="F75" s="73">
        <f>'[1]All age Groups'!K75</f>
        <v>14807</v>
      </c>
      <c r="G75" s="74">
        <f>'[1]All age Groups'!L75</f>
        <v>13379</v>
      </c>
      <c r="H75" s="73">
        <f>'[1]All age Groups'!M75</f>
        <v>11876</v>
      </c>
      <c r="I75" s="74">
        <f>'[1]All age Groups'!N75</f>
        <v>11275</v>
      </c>
      <c r="J75" s="73">
        <f>'[1]All age Groups'!O75</f>
        <v>7967</v>
      </c>
      <c r="K75" s="74">
        <f>'[1]All age Groups'!P75</f>
        <v>8193</v>
      </c>
      <c r="L75" s="73">
        <f>'[1]All age Groups'!Q75</f>
        <v>4435</v>
      </c>
      <c r="M75" s="74">
        <f>'[1]All age Groups'!R75</f>
        <v>5337</v>
      </c>
      <c r="N75" s="73">
        <f>'[1]All age Groups'!S75</f>
        <v>3608</v>
      </c>
      <c r="O75" s="74">
        <f>'[1]All age Groups'!T75</f>
        <v>5186</v>
      </c>
      <c r="P75" s="73">
        <f>'[1]All age Groups'!U75</f>
        <v>3307</v>
      </c>
      <c r="Q75" s="74">
        <f>'[1]All age Groups'!V75</f>
        <v>3833</v>
      </c>
      <c r="R75" s="73">
        <f>'[1]All age Groups'!W75</f>
        <v>2781</v>
      </c>
      <c r="S75" s="74">
        <f>'[1]All age Groups'!X75</f>
        <v>3307</v>
      </c>
      <c r="T75" s="73">
        <f>'[1]All age Groups'!Y75</f>
        <v>2556</v>
      </c>
      <c r="U75" s="74">
        <f>'[1]All age Groups'!Z75</f>
        <v>1879</v>
      </c>
      <c r="V75" s="73">
        <f>'[1]All age Groups'!AA75</f>
        <v>1428</v>
      </c>
      <c r="W75" s="74">
        <f>'[1]All age Groups'!AB75</f>
        <v>1127</v>
      </c>
      <c r="X75" s="73">
        <f>'[1]All age Groups'!AC75</f>
        <v>1954</v>
      </c>
      <c r="Y75" s="74">
        <f>'[1]All age Groups'!AD75</f>
        <v>2706</v>
      </c>
      <c r="Z75" s="73">
        <f>'[1]All age Groups'!AE75</f>
        <v>902</v>
      </c>
      <c r="AA75" s="74">
        <f>'[1]All age Groups'!AF75</f>
        <v>1052</v>
      </c>
      <c r="AB75" s="73">
        <f>'[1]All age Groups'!AG75</f>
        <v>1428</v>
      </c>
      <c r="AC75" s="74">
        <f>'[1]All age Groups'!AH75</f>
        <v>1203</v>
      </c>
      <c r="AD75" s="73">
        <f>'[1]All age Groups'!AI75</f>
        <v>451</v>
      </c>
      <c r="AE75" s="74">
        <f>'[1]All age Groups'!AJ75</f>
        <v>526</v>
      </c>
      <c r="AF75" s="73">
        <f>'[1]All age Groups'!AK75</f>
        <v>752</v>
      </c>
      <c r="AG75" s="74">
        <f>'[1]All age Groups'!AL75</f>
        <v>902</v>
      </c>
      <c r="AH75" s="73">
        <f>'[1]All age Groups'!AM75</f>
        <v>225</v>
      </c>
      <c r="AI75" s="74">
        <f>'[1]All age Groups'!AN75</f>
        <v>225</v>
      </c>
      <c r="AJ75" s="73">
        <f>'[1]All age Groups'!AO75</f>
        <v>676</v>
      </c>
      <c r="AK75" s="74">
        <f>'[1]All age Groups'!AP75</f>
        <v>902</v>
      </c>
      <c r="AL75" s="75">
        <f t="shared" si="2"/>
        <v>74336</v>
      </c>
      <c r="AM75" s="75">
        <f t="shared" si="2"/>
        <v>75088</v>
      </c>
      <c r="AN75" s="76">
        <f t="shared" si="3"/>
        <v>149424</v>
      </c>
    </row>
    <row r="76" spans="1:40" x14ac:dyDescent="0.5">
      <c r="A76" s="71" t="str">
        <f>'[1]All age Groups'!C76</f>
        <v xml:space="preserve">Somaliland  </v>
      </c>
      <c r="B76" s="72" t="str">
        <f>'[1]All age Groups'!D76</f>
        <v>Woqooyi Galbeed</v>
      </c>
      <c r="C76" s="72" t="str">
        <f>'[1]All age Groups'!E76</f>
        <v>Berbera</v>
      </c>
      <c r="D76" s="73">
        <f>'[1]All age Groups'!I76</f>
        <v>19900</v>
      </c>
      <c r="E76" s="74">
        <f>'[1]All age Groups'!J76</f>
        <v>18422</v>
      </c>
      <c r="F76" s="73">
        <f>'[1]All age Groups'!K76</f>
        <v>19408</v>
      </c>
      <c r="G76" s="74">
        <f>'[1]All age Groups'!L76</f>
        <v>17536</v>
      </c>
      <c r="H76" s="73">
        <f>'[1]All age Groups'!M76</f>
        <v>15565</v>
      </c>
      <c r="I76" s="74">
        <f>'[1]All age Groups'!N76</f>
        <v>14777</v>
      </c>
      <c r="J76" s="73">
        <f>'[1]All age Groups'!O76</f>
        <v>10443</v>
      </c>
      <c r="K76" s="74">
        <f>'[1]All age Groups'!P76</f>
        <v>10738</v>
      </c>
      <c r="L76" s="73">
        <f>'[1]All age Groups'!Q76</f>
        <v>5812</v>
      </c>
      <c r="M76" s="74">
        <f>'[1]All age Groups'!R76</f>
        <v>6995</v>
      </c>
      <c r="N76" s="73">
        <f>'[1]All age Groups'!S76</f>
        <v>4729</v>
      </c>
      <c r="O76" s="74">
        <f>'[1]All age Groups'!T76</f>
        <v>6798</v>
      </c>
      <c r="P76" s="73">
        <f>'[1]All age Groups'!U76</f>
        <v>4335</v>
      </c>
      <c r="Q76" s="74">
        <f>'[1]All age Groups'!V76</f>
        <v>5024</v>
      </c>
      <c r="R76" s="73">
        <f>'[1]All age Groups'!W76</f>
        <v>3645</v>
      </c>
      <c r="S76" s="74">
        <f>'[1]All age Groups'!X76</f>
        <v>4335</v>
      </c>
      <c r="T76" s="73">
        <f>'[1]All age Groups'!Y76</f>
        <v>3350</v>
      </c>
      <c r="U76" s="74">
        <f>'[1]All age Groups'!Z76</f>
        <v>2463</v>
      </c>
      <c r="V76" s="73">
        <f>'[1]All age Groups'!AA76</f>
        <v>1872</v>
      </c>
      <c r="W76" s="74">
        <f>'[1]All age Groups'!AB76</f>
        <v>1478</v>
      </c>
      <c r="X76" s="73">
        <f>'[1]All age Groups'!AC76</f>
        <v>2561</v>
      </c>
      <c r="Y76" s="74">
        <f>'[1]All age Groups'!AD76</f>
        <v>3547</v>
      </c>
      <c r="Z76" s="73">
        <f>'[1]All age Groups'!AE76</f>
        <v>1182</v>
      </c>
      <c r="AA76" s="74">
        <f>'[1]All age Groups'!AF76</f>
        <v>1379</v>
      </c>
      <c r="AB76" s="73">
        <f>'[1]All age Groups'!AG76</f>
        <v>1872</v>
      </c>
      <c r="AC76" s="74">
        <f>'[1]All age Groups'!AH76</f>
        <v>1576</v>
      </c>
      <c r="AD76" s="73">
        <f>'[1]All age Groups'!AI76</f>
        <v>591</v>
      </c>
      <c r="AE76" s="74">
        <f>'[1]All age Groups'!AJ76</f>
        <v>690</v>
      </c>
      <c r="AF76" s="73">
        <f>'[1]All age Groups'!AK76</f>
        <v>985</v>
      </c>
      <c r="AG76" s="74">
        <f>'[1]All age Groups'!AL76</f>
        <v>1182</v>
      </c>
      <c r="AH76" s="73">
        <f>'[1]All age Groups'!AM76</f>
        <v>296</v>
      </c>
      <c r="AI76" s="74">
        <f>'[1]All age Groups'!AN76</f>
        <v>296</v>
      </c>
      <c r="AJ76" s="73">
        <f>'[1]All age Groups'!AO76</f>
        <v>887</v>
      </c>
      <c r="AK76" s="74">
        <f>'[1]All age Groups'!AP76</f>
        <v>1182</v>
      </c>
      <c r="AL76" s="75">
        <f t="shared" si="2"/>
        <v>97433</v>
      </c>
      <c r="AM76" s="75">
        <f t="shared" si="2"/>
        <v>98418</v>
      </c>
      <c r="AN76" s="76">
        <f t="shared" si="3"/>
        <v>195851</v>
      </c>
    </row>
    <row r="77" spans="1:40" x14ac:dyDescent="0.5">
      <c r="A77" s="71" t="str">
        <f>'[1]All age Groups'!C77</f>
        <v xml:space="preserve">Somaliland  </v>
      </c>
      <c r="B77" s="72" t="str">
        <f>'[1]All age Groups'!D77</f>
        <v>Woqooyi Galbeed</v>
      </c>
      <c r="C77" s="72" t="str">
        <f>'[1]All age Groups'!E77</f>
        <v>Gebiley</v>
      </c>
      <c r="D77" s="73">
        <f>'[1]All age Groups'!I77</f>
        <v>22215</v>
      </c>
      <c r="E77" s="74">
        <f>'[1]All age Groups'!J77</f>
        <v>20565</v>
      </c>
      <c r="F77" s="73">
        <f>'[1]All age Groups'!K77</f>
        <v>21665</v>
      </c>
      <c r="G77" s="74">
        <f>'[1]All age Groups'!L77</f>
        <v>19576</v>
      </c>
      <c r="H77" s="73">
        <f>'[1]All age Groups'!M77</f>
        <v>17376</v>
      </c>
      <c r="I77" s="74">
        <f>'[1]All age Groups'!N77</f>
        <v>16496</v>
      </c>
      <c r="J77" s="73">
        <f>'[1]All age Groups'!O77</f>
        <v>11657</v>
      </c>
      <c r="K77" s="74">
        <f>'[1]All age Groups'!P77</f>
        <v>11987</v>
      </c>
      <c r="L77" s="73">
        <f>'[1]All age Groups'!Q77</f>
        <v>6489</v>
      </c>
      <c r="M77" s="74">
        <f>'[1]All age Groups'!R77</f>
        <v>7808</v>
      </c>
      <c r="N77" s="73">
        <f>'[1]All age Groups'!S77</f>
        <v>5279</v>
      </c>
      <c r="O77" s="74">
        <f>'[1]All age Groups'!T77</f>
        <v>7588</v>
      </c>
      <c r="P77" s="73">
        <f>'[1]All age Groups'!U77</f>
        <v>4839</v>
      </c>
      <c r="Q77" s="74">
        <f>'[1]All age Groups'!V77</f>
        <v>5609</v>
      </c>
      <c r="R77" s="73">
        <f>'[1]All age Groups'!W77</f>
        <v>4069</v>
      </c>
      <c r="S77" s="74">
        <f>'[1]All age Groups'!X77</f>
        <v>4839</v>
      </c>
      <c r="T77" s="73">
        <f>'[1]All age Groups'!Y77</f>
        <v>3739</v>
      </c>
      <c r="U77" s="74">
        <f>'[1]All age Groups'!Z77</f>
        <v>2749</v>
      </c>
      <c r="V77" s="73">
        <f>'[1]All age Groups'!AA77</f>
        <v>2090</v>
      </c>
      <c r="W77" s="74">
        <f>'[1]All age Groups'!AB77</f>
        <v>1650</v>
      </c>
      <c r="X77" s="73">
        <f>'[1]All age Groups'!AC77</f>
        <v>2859</v>
      </c>
      <c r="Y77" s="74">
        <f>'[1]All age Groups'!AD77</f>
        <v>3959</v>
      </c>
      <c r="Z77" s="73">
        <f>'[1]All age Groups'!AE77</f>
        <v>1320</v>
      </c>
      <c r="AA77" s="74">
        <f>'[1]All age Groups'!AF77</f>
        <v>1540</v>
      </c>
      <c r="AB77" s="73">
        <f>'[1]All age Groups'!AG77</f>
        <v>2090</v>
      </c>
      <c r="AC77" s="74">
        <f>'[1]All age Groups'!AH77</f>
        <v>1760</v>
      </c>
      <c r="AD77" s="73">
        <f>'[1]All age Groups'!AI77</f>
        <v>660</v>
      </c>
      <c r="AE77" s="74">
        <f>'[1]All age Groups'!AJ77</f>
        <v>770</v>
      </c>
      <c r="AF77" s="73">
        <f>'[1]All age Groups'!AK77</f>
        <v>1100</v>
      </c>
      <c r="AG77" s="74">
        <f>'[1]All age Groups'!AL77</f>
        <v>1320</v>
      </c>
      <c r="AH77" s="73">
        <f>'[1]All age Groups'!AM77</f>
        <v>330</v>
      </c>
      <c r="AI77" s="74">
        <f>'[1]All age Groups'!AN77</f>
        <v>330</v>
      </c>
      <c r="AJ77" s="73">
        <f>'[1]All age Groups'!AO77</f>
        <v>990</v>
      </c>
      <c r="AK77" s="74">
        <f>'[1]All age Groups'!AP77</f>
        <v>1320</v>
      </c>
      <c r="AL77" s="75">
        <f t="shared" si="2"/>
        <v>108767</v>
      </c>
      <c r="AM77" s="75">
        <f t="shared" si="2"/>
        <v>109866</v>
      </c>
      <c r="AN77" s="76">
        <f t="shared" si="3"/>
        <v>218633</v>
      </c>
    </row>
    <row r="78" spans="1:40" x14ac:dyDescent="0.5">
      <c r="A78" s="71" t="str">
        <f>'[1]All age Groups'!C78</f>
        <v xml:space="preserve">Somaliland  </v>
      </c>
      <c r="B78" s="72" t="str">
        <f>'[1]All age Groups'!D78</f>
        <v>Woqooyi Galbeed</v>
      </c>
      <c r="C78" s="72" t="str">
        <f>'[1]All age Groups'!E78</f>
        <v>Hargeysa</v>
      </c>
      <c r="D78" s="73">
        <f>'[1]All age Groups'!I78</f>
        <v>109537</v>
      </c>
      <c r="E78" s="74">
        <f>'[1]All age Groups'!J78</f>
        <v>101403</v>
      </c>
      <c r="F78" s="73">
        <f>'[1]All age Groups'!K78</f>
        <v>106826</v>
      </c>
      <c r="G78" s="74">
        <f>'[1]All age Groups'!L78</f>
        <v>96523</v>
      </c>
      <c r="H78" s="73">
        <f>'[1]All age Groups'!M78</f>
        <v>85678</v>
      </c>
      <c r="I78" s="74">
        <f>'[1]All age Groups'!N78</f>
        <v>81339</v>
      </c>
      <c r="J78" s="73">
        <f>'[1]All age Groups'!O78</f>
        <v>57480</v>
      </c>
      <c r="K78" s="74">
        <f>'[1]All age Groups'!P78</f>
        <v>59107</v>
      </c>
      <c r="L78" s="73">
        <f>'[1]All age Groups'!Q78</f>
        <v>31994</v>
      </c>
      <c r="M78" s="74">
        <f>'[1]All age Groups'!R78</f>
        <v>38501</v>
      </c>
      <c r="N78" s="73">
        <f>'[1]All age Groups'!S78</f>
        <v>26029</v>
      </c>
      <c r="O78" s="74">
        <f>'[1]All age Groups'!T78</f>
        <v>37416</v>
      </c>
      <c r="P78" s="73">
        <f>'[1]All age Groups'!U78</f>
        <v>23860</v>
      </c>
      <c r="Q78" s="74">
        <f>'[1]All age Groups'!V78</f>
        <v>27655</v>
      </c>
      <c r="R78" s="73">
        <f>'[1]All age Groups'!W78</f>
        <v>20064</v>
      </c>
      <c r="S78" s="74">
        <f>'[1]All age Groups'!X78</f>
        <v>23860</v>
      </c>
      <c r="T78" s="73">
        <f>'[1]All age Groups'!Y78</f>
        <v>18437</v>
      </c>
      <c r="U78" s="74">
        <f>'[1]All age Groups'!Z78</f>
        <v>13557</v>
      </c>
      <c r="V78" s="73">
        <f>'[1]All age Groups'!AA78</f>
        <v>10303</v>
      </c>
      <c r="W78" s="74">
        <f>'[1]All age Groups'!AB78</f>
        <v>8134</v>
      </c>
      <c r="X78" s="73">
        <f>'[1]All age Groups'!AC78</f>
        <v>14099</v>
      </c>
      <c r="Y78" s="74">
        <f>'[1]All age Groups'!AD78</f>
        <v>19521</v>
      </c>
      <c r="Z78" s="73">
        <f>'[1]All age Groups'!AE78</f>
        <v>6507</v>
      </c>
      <c r="AA78" s="74">
        <f>'[1]All age Groups'!AF78</f>
        <v>7592</v>
      </c>
      <c r="AB78" s="73">
        <f>'[1]All age Groups'!AG78</f>
        <v>10303</v>
      </c>
      <c r="AC78" s="74">
        <f>'[1]All age Groups'!AH78</f>
        <v>8676</v>
      </c>
      <c r="AD78" s="73">
        <f>'[1]All age Groups'!AI78</f>
        <v>3254</v>
      </c>
      <c r="AE78" s="74">
        <f>'[1]All age Groups'!AJ78</f>
        <v>3796</v>
      </c>
      <c r="AF78" s="73">
        <f>'[1]All age Groups'!AK78</f>
        <v>5423</v>
      </c>
      <c r="AG78" s="74">
        <f>'[1]All age Groups'!AL78</f>
        <v>6507</v>
      </c>
      <c r="AH78" s="73">
        <f>'[1]All age Groups'!AM78</f>
        <v>1627</v>
      </c>
      <c r="AI78" s="74">
        <f>'[1]All age Groups'!AN78</f>
        <v>1627</v>
      </c>
      <c r="AJ78" s="73">
        <f>'[1]All age Groups'!AO78</f>
        <v>4880</v>
      </c>
      <c r="AK78" s="74">
        <f>'[1]All age Groups'!AP78</f>
        <v>6507</v>
      </c>
      <c r="AL78" s="75">
        <f t="shared" si="2"/>
        <v>536301</v>
      </c>
      <c r="AM78" s="75">
        <f t="shared" si="2"/>
        <v>541721</v>
      </c>
      <c r="AN78" s="76">
        <f t="shared" si="3"/>
        <v>1078022</v>
      </c>
    </row>
    <row r="79" spans="1:40" x14ac:dyDescent="0.5">
      <c r="A79" s="71" t="str">
        <f>'[1]All age Groups'!C79</f>
        <v xml:space="preserve">Southwest  </v>
      </c>
      <c r="B79" s="72" t="str">
        <f>'[1]All age Groups'!D79</f>
        <v>Bakool</v>
      </c>
      <c r="C79" s="72" t="str">
        <f>'[1]All age Groups'!E79</f>
        <v>Ceel Barde</v>
      </c>
      <c r="D79" s="73">
        <f>'[1]All age Groups'!I79</f>
        <v>8834</v>
      </c>
      <c r="E79" s="74">
        <f>'[1]All age Groups'!J79</f>
        <v>8178</v>
      </c>
      <c r="F79" s="73">
        <f>'[1]All age Groups'!K79</f>
        <v>8615</v>
      </c>
      <c r="G79" s="74">
        <f>'[1]All age Groups'!L79</f>
        <v>7784</v>
      </c>
      <c r="H79" s="73">
        <f>'[1]All age Groups'!M79</f>
        <v>6910</v>
      </c>
      <c r="I79" s="74">
        <f>'[1]All age Groups'!N79</f>
        <v>6560</v>
      </c>
      <c r="J79" s="73">
        <f>'[1]All age Groups'!O79</f>
        <v>4636</v>
      </c>
      <c r="K79" s="74">
        <f>'[1]All age Groups'!P79</f>
        <v>4767</v>
      </c>
      <c r="L79" s="73">
        <f>'[1]All age Groups'!Q79</f>
        <v>2580</v>
      </c>
      <c r="M79" s="74">
        <f>'[1]All age Groups'!R79</f>
        <v>3105</v>
      </c>
      <c r="N79" s="73">
        <f>'[1]All age Groups'!S79</f>
        <v>2099</v>
      </c>
      <c r="O79" s="74">
        <f>'[1]All age Groups'!T79</f>
        <v>3018</v>
      </c>
      <c r="P79" s="73">
        <f>'[1]All age Groups'!U79</f>
        <v>1924</v>
      </c>
      <c r="Q79" s="74">
        <f>'[1]All age Groups'!V79</f>
        <v>2230</v>
      </c>
      <c r="R79" s="73">
        <f>'[1]All age Groups'!W79</f>
        <v>1618</v>
      </c>
      <c r="S79" s="74">
        <f>'[1]All age Groups'!X79</f>
        <v>1924</v>
      </c>
      <c r="T79" s="73">
        <f>'[1]All age Groups'!Y79</f>
        <v>1487</v>
      </c>
      <c r="U79" s="74">
        <f>'[1]All age Groups'!Z79</f>
        <v>1093</v>
      </c>
      <c r="V79" s="73">
        <f>'[1]All age Groups'!AA79</f>
        <v>831</v>
      </c>
      <c r="W79" s="74">
        <f>'[1]All age Groups'!AB79</f>
        <v>656</v>
      </c>
      <c r="X79" s="73">
        <f>'[1]All age Groups'!AC79</f>
        <v>1137</v>
      </c>
      <c r="Y79" s="74">
        <f>'[1]All age Groups'!AD79</f>
        <v>1574</v>
      </c>
      <c r="Z79" s="73">
        <f>'[1]All age Groups'!AE79</f>
        <v>525</v>
      </c>
      <c r="AA79" s="74">
        <f>'[1]All age Groups'!AF79</f>
        <v>612</v>
      </c>
      <c r="AB79" s="73">
        <f>'[1]All age Groups'!AG79</f>
        <v>831</v>
      </c>
      <c r="AC79" s="74">
        <f>'[1]All age Groups'!AH79</f>
        <v>700</v>
      </c>
      <c r="AD79" s="73">
        <f>'[1]All age Groups'!AI79</f>
        <v>262</v>
      </c>
      <c r="AE79" s="74">
        <f>'[1]All age Groups'!AJ79</f>
        <v>306</v>
      </c>
      <c r="AF79" s="73">
        <f>'[1]All age Groups'!AK79</f>
        <v>437</v>
      </c>
      <c r="AG79" s="74">
        <f>'[1]All age Groups'!AL79</f>
        <v>525</v>
      </c>
      <c r="AH79" s="73">
        <f>'[1]All age Groups'!AM79</f>
        <v>131</v>
      </c>
      <c r="AI79" s="74">
        <f>'[1]All age Groups'!AN79</f>
        <v>131</v>
      </c>
      <c r="AJ79" s="73">
        <f>'[1]All age Groups'!AO79</f>
        <v>394</v>
      </c>
      <c r="AK79" s="74">
        <f>'[1]All age Groups'!AP79</f>
        <v>525</v>
      </c>
      <c r="AL79" s="75">
        <f t="shared" si="2"/>
        <v>43251</v>
      </c>
      <c r="AM79" s="75">
        <f t="shared" si="2"/>
        <v>43688</v>
      </c>
      <c r="AN79" s="76">
        <f t="shared" si="3"/>
        <v>86939</v>
      </c>
    </row>
    <row r="80" spans="1:40" x14ac:dyDescent="0.5">
      <c r="A80" s="71" t="str">
        <f>'[1]All age Groups'!C80</f>
        <v xml:space="preserve">Southwest  </v>
      </c>
      <c r="B80" s="72" t="str">
        <f>'[1]All age Groups'!D80</f>
        <v>Bakool</v>
      </c>
      <c r="C80" s="72" t="str">
        <f>'[1]All age Groups'!E80</f>
        <v>Rab Dhuure</v>
      </c>
      <c r="D80" s="73">
        <f>'[1]All age Groups'!I80</f>
        <v>9366</v>
      </c>
      <c r="E80" s="74">
        <f>'[1]All age Groups'!J80</f>
        <v>8671</v>
      </c>
      <c r="F80" s="73">
        <f>'[1]All age Groups'!K80</f>
        <v>9134</v>
      </c>
      <c r="G80" s="74">
        <f>'[1]All age Groups'!L80</f>
        <v>8253</v>
      </c>
      <c r="H80" s="73">
        <f>'[1]All age Groups'!M80</f>
        <v>7326</v>
      </c>
      <c r="I80" s="74">
        <f>'[1]All age Groups'!N80</f>
        <v>6955</v>
      </c>
      <c r="J80" s="73">
        <f>'[1]All age Groups'!O80</f>
        <v>4915</v>
      </c>
      <c r="K80" s="74">
        <f>'[1]All age Groups'!P80</f>
        <v>5054</v>
      </c>
      <c r="L80" s="73">
        <f>'[1]All age Groups'!Q80</f>
        <v>2736</v>
      </c>
      <c r="M80" s="74">
        <f>'[1]All age Groups'!R80</f>
        <v>3292</v>
      </c>
      <c r="N80" s="73">
        <f>'[1]All age Groups'!S80</f>
        <v>2226</v>
      </c>
      <c r="O80" s="74">
        <f>'[1]All age Groups'!T80</f>
        <v>3199</v>
      </c>
      <c r="P80" s="73">
        <f>'[1]All age Groups'!U80</f>
        <v>2040</v>
      </c>
      <c r="Q80" s="74">
        <f>'[1]All age Groups'!V80</f>
        <v>2365</v>
      </c>
      <c r="R80" s="73">
        <f>'[1]All age Groups'!W80</f>
        <v>1716</v>
      </c>
      <c r="S80" s="74">
        <f>'[1]All age Groups'!X80</f>
        <v>2040</v>
      </c>
      <c r="T80" s="73">
        <f>'[1]All age Groups'!Y80</f>
        <v>1576</v>
      </c>
      <c r="U80" s="74">
        <f>'[1]All age Groups'!Z80</f>
        <v>1159</v>
      </c>
      <c r="V80" s="73">
        <f>'[1]All age Groups'!AA80</f>
        <v>881</v>
      </c>
      <c r="W80" s="74">
        <f>'[1]All age Groups'!AB80</f>
        <v>695</v>
      </c>
      <c r="X80" s="73">
        <f>'[1]All age Groups'!AC80</f>
        <v>1206</v>
      </c>
      <c r="Y80" s="74">
        <f>'[1]All age Groups'!AD80</f>
        <v>1669</v>
      </c>
      <c r="Z80" s="73">
        <f>'[1]All age Groups'!AE80</f>
        <v>556</v>
      </c>
      <c r="AA80" s="74">
        <f>'[1]All age Groups'!AF80</f>
        <v>649</v>
      </c>
      <c r="AB80" s="73">
        <f>'[1]All age Groups'!AG80</f>
        <v>881</v>
      </c>
      <c r="AC80" s="74">
        <f>'[1]All age Groups'!AH80</f>
        <v>742</v>
      </c>
      <c r="AD80" s="73">
        <f>'[1]All age Groups'!AI80</f>
        <v>278</v>
      </c>
      <c r="AE80" s="74">
        <f>'[1]All age Groups'!AJ80</f>
        <v>325</v>
      </c>
      <c r="AF80" s="73">
        <f>'[1]All age Groups'!AK80</f>
        <v>464</v>
      </c>
      <c r="AG80" s="74">
        <f>'[1]All age Groups'!AL80</f>
        <v>556</v>
      </c>
      <c r="AH80" s="73">
        <f>'[1]All age Groups'!AM80</f>
        <v>139</v>
      </c>
      <c r="AI80" s="74">
        <f>'[1]All age Groups'!AN80</f>
        <v>139</v>
      </c>
      <c r="AJ80" s="73">
        <f>'[1]All age Groups'!AO80</f>
        <v>417</v>
      </c>
      <c r="AK80" s="74">
        <f>'[1]All age Groups'!AP80</f>
        <v>556</v>
      </c>
      <c r="AL80" s="75">
        <f t="shared" si="2"/>
        <v>45857</v>
      </c>
      <c r="AM80" s="75">
        <f t="shared" si="2"/>
        <v>46319</v>
      </c>
      <c r="AN80" s="76">
        <f t="shared" si="3"/>
        <v>92176</v>
      </c>
    </row>
    <row r="81" spans="1:40" x14ac:dyDescent="0.5">
      <c r="A81" s="71" t="str">
        <f>'[1]All age Groups'!C81</f>
        <v xml:space="preserve">Southwest  </v>
      </c>
      <c r="B81" s="72" t="str">
        <f>'[1]All age Groups'!D81</f>
        <v>Bakool</v>
      </c>
      <c r="C81" s="72" t="str">
        <f>'[1]All age Groups'!E81</f>
        <v>Tayeeglow</v>
      </c>
      <c r="D81" s="73">
        <f>'[1]All age Groups'!I81</f>
        <v>17301</v>
      </c>
      <c r="E81" s="74">
        <f>'[1]All age Groups'!J81</f>
        <v>16016</v>
      </c>
      <c r="F81" s="73">
        <f>'[1]All age Groups'!K81</f>
        <v>16873</v>
      </c>
      <c r="G81" s="74">
        <f>'[1]All age Groups'!L81</f>
        <v>15245</v>
      </c>
      <c r="H81" s="73">
        <f>'[1]All age Groups'!M81</f>
        <v>13532</v>
      </c>
      <c r="I81" s="74">
        <f>'[1]All age Groups'!N81</f>
        <v>12847</v>
      </c>
      <c r="J81" s="73">
        <f>'[1]All age Groups'!O81</f>
        <v>9079</v>
      </c>
      <c r="K81" s="74">
        <f>'[1]All age Groups'!P81</f>
        <v>9336</v>
      </c>
      <c r="L81" s="73">
        <f>'[1]All age Groups'!Q81</f>
        <v>5053</v>
      </c>
      <c r="M81" s="74">
        <f>'[1]All age Groups'!R81</f>
        <v>6081</v>
      </c>
      <c r="N81" s="73">
        <f>'[1]All age Groups'!S81</f>
        <v>4111</v>
      </c>
      <c r="O81" s="74">
        <f>'[1]All age Groups'!T81</f>
        <v>5910</v>
      </c>
      <c r="P81" s="73">
        <f>'[1]All age Groups'!U81</f>
        <v>3768</v>
      </c>
      <c r="Q81" s="74">
        <f>'[1]All age Groups'!V81</f>
        <v>4368</v>
      </c>
      <c r="R81" s="73">
        <f>'[1]All age Groups'!W81</f>
        <v>3169</v>
      </c>
      <c r="S81" s="74">
        <f>'[1]All age Groups'!X81</f>
        <v>3768</v>
      </c>
      <c r="T81" s="73">
        <f>'[1]All age Groups'!Y81</f>
        <v>2912</v>
      </c>
      <c r="U81" s="74">
        <f>'[1]All age Groups'!Z81</f>
        <v>2141</v>
      </c>
      <c r="V81" s="73">
        <f>'[1]All age Groups'!AA81</f>
        <v>1627</v>
      </c>
      <c r="W81" s="74">
        <f>'[1]All age Groups'!AB81</f>
        <v>1285</v>
      </c>
      <c r="X81" s="73">
        <f>'[1]All age Groups'!AC81</f>
        <v>2227</v>
      </c>
      <c r="Y81" s="74">
        <f>'[1]All age Groups'!AD81</f>
        <v>3083</v>
      </c>
      <c r="Z81" s="73">
        <f>'[1]All age Groups'!AE81</f>
        <v>1028</v>
      </c>
      <c r="AA81" s="74">
        <f>'[1]All age Groups'!AF81</f>
        <v>1199</v>
      </c>
      <c r="AB81" s="73">
        <f>'[1]All age Groups'!AG81</f>
        <v>1627</v>
      </c>
      <c r="AC81" s="74">
        <f>'[1]All age Groups'!AH81</f>
        <v>1370</v>
      </c>
      <c r="AD81" s="73">
        <f>'[1]All age Groups'!AI81</f>
        <v>514</v>
      </c>
      <c r="AE81" s="74">
        <f>'[1]All age Groups'!AJ81</f>
        <v>600</v>
      </c>
      <c r="AF81" s="73">
        <f>'[1]All age Groups'!AK81</f>
        <v>856</v>
      </c>
      <c r="AG81" s="74">
        <f>'[1]All age Groups'!AL81</f>
        <v>1028</v>
      </c>
      <c r="AH81" s="73">
        <f>'[1]All age Groups'!AM81</f>
        <v>257</v>
      </c>
      <c r="AI81" s="74">
        <f>'[1]All age Groups'!AN81</f>
        <v>257</v>
      </c>
      <c r="AJ81" s="73">
        <f>'[1]All age Groups'!AO81</f>
        <v>771</v>
      </c>
      <c r="AK81" s="74">
        <f>'[1]All age Groups'!AP81</f>
        <v>1028</v>
      </c>
      <c r="AL81" s="75">
        <f t="shared" si="2"/>
        <v>84705</v>
      </c>
      <c r="AM81" s="75">
        <f t="shared" si="2"/>
        <v>85562</v>
      </c>
      <c r="AN81" s="76">
        <f t="shared" si="3"/>
        <v>170267</v>
      </c>
    </row>
    <row r="82" spans="1:40" x14ac:dyDescent="0.5">
      <c r="A82" s="71" t="str">
        <f>'[1]All age Groups'!C82</f>
        <v xml:space="preserve">Southwest  </v>
      </c>
      <c r="B82" s="72" t="str">
        <f>'[1]All age Groups'!D82</f>
        <v>Bakool</v>
      </c>
      <c r="C82" s="72" t="str">
        <f>'[1]All age Groups'!E82</f>
        <v>Waajid</v>
      </c>
      <c r="D82" s="73">
        <f>'[1]All age Groups'!I82</f>
        <v>9386</v>
      </c>
      <c r="E82" s="74">
        <f>'[1]All age Groups'!J82</f>
        <v>8689</v>
      </c>
      <c r="F82" s="73">
        <f>'[1]All age Groups'!K82</f>
        <v>9153</v>
      </c>
      <c r="G82" s="74">
        <f>'[1]All age Groups'!L82</f>
        <v>8271</v>
      </c>
      <c r="H82" s="73">
        <f>'[1]All age Groups'!M82</f>
        <v>7341</v>
      </c>
      <c r="I82" s="74">
        <f>'[1]All age Groups'!N82</f>
        <v>6970</v>
      </c>
      <c r="J82" s="73">
        <f>'[1]All age Groups'!O82</f>
        <v>4925</v>
      </c>
      <c r="K82" s="74">
        <f>'[1]All age Groups'!P82</f>
        <v>5065</v>
      </c>
      <c r="L82" s="73">
        <f>'[1]All age Groups'!Q82</f>
        <v>2741</v>
      </c>
      <c r="M82" s="74">
        <f>'[1]All age Groups'!R82</f>
        <v>3299</v>
      </c>
      <c r="N82" s="73">
        <f>'[1]All age Groups'!S82</f>
        <v>2230</v>
      </c>
      <c r="O82" s="74">
        <f>'[1]All age Groups'!T82</f>
        <v>3206</v>
      </c>
      <c r="P82" s="73">
        <f>'[1]All age Groups'!U82</f>
        <v>2044</v>
      </c>
      <c r="Q82" s="74">
        <f>'[1]All age Groups'!V82</f>
        <v>2370</v>
      </c>
      <c r="R82" s="73">
        <f>'[1]All age Groups'!W82</f>
        <v>1719</v>
      </c>
      <c r="S82" s="74">
        <f>'[1]All age Groups'!X82</f>
        <v>2044</v>
      </c>
      <c r="T82" s="73">
        <f>'[1]All age Groups'!Y82</f>
        <v>1580</v>
      </c>
      <c r="U82" s="74">
        <f>'[1]All age Groups'!Z82</f>
        <v>1162</v>
      </c>
      <c r="V82" s="73">
        <f>'[1]All age Groups'!AA82</f>
        <v>883</v>
      </c>
      <c r="W82" s="74">
        <f>'[1]All age Groups'!AB82</f>
        <v>697</v>
      </c>
      <c r="X82" s="73">
        <f>'[1]All age Groups'!AC82</f>
        <v>1208</v>
      </c>
      <c r="Y82" s="74">
        <f>'[1]All age Groups'!AD82</f>
        <v>1673</v>
      </c>
      <c r="Z82" s="73">
        <f>'[1]All age Groups'!AE82</f>
        <v>558</v>
      </c>
      <c r="AA82" s="74">
        <f>'[1]All age Groups'!AF82</f>
        <v>650</v>
      </c>
      <c r="AB82" s="73">
        <f>'[1]All age Groups'!AG82</f>
        <v>883</v>
      </c>
      <c r="AC82" s="74">
        <f>'[1]All age Groups'!AH82</f>
        <v>743</v>
      </c>
      <c r="AD82" s="73">
        <f>'[1]All age Groups'!AI82</f>
        <v>279</v>
      </c>
      <c r="AE82" s="74">
        <f>'[1]All age Groups'!AJ82</f>
        <v>325</v>
      </c>
      <c r="AF82" s="73">
        <f>'[1]All age Groups'!AK82</f>
        <v>465</v>
      </c>
      <c r="AG82" s="74">
        <f>'[1]All age Groups'!AL82</f>
        <v>558</v>
      </c>
      <c r="AH82" s="73">
        <f>'[1]All age Groups'!AM82</f>
        <v>139</v>
      </c>
      <c r="AI82" s="74">
        <f>'[1]All age Groups'!AN82</f>
        <v>139</v>
      </c>
      <c r="AJ82" s="73">
        <f>'[1]All age Groups'!AO82</f>
        <v>418</v>
      </c>
      <c r="AK82" s="74">
        <f>'[1]All age Groups'!AP82</f>
        <v>558</v>
      </c>
      <c r="AL82" s="75">
        <f t="shared" si="2"/>
        <v>45952</v>
      </c>
      <c r="AM82" s="75">
        <f t="shared" si="2"/>
        <v>46419</v>
      </c>
      <c r="AN82" s="76">
        <f t="shared" si="3"/>
        <v>92371</v>
      </c>
    </row>
    <row r="83" spans="1:40" x14ac:dyDescent="0.5">
      <c r="A83" s="71" t="str">
        <f>'[1]All age Groups'!C83</f>
        <v xml:space="preserve">Southwest  </v>
      </c>
      <c r="B83" s="72" t="str">
        <f>'[1]All age Groups'!D83</f>
        <v>Bakool</v>
      </c>
      <c r="C83" s="72" t="str">
        <f>'[1]All age Groups'!E83</f>
        <v>Xudur</v>
      </c>
      <c r="D83" s="73">
        <f>'[1]All age Groups'!I83</f>
        <v>12042</v>
      </c>
      <c r="E83" s="74">
        <f>'[1]All age Groups'!J83</f>
        <v>11148</v>
      </c>
      <c r="F83" s="73">
        <f>'[1]All age Groups'!K83</f>
        <v>11744</v>
      </c>
      <c r="G83" s="74">
        <f>'[1]All age Groups'!L83</f>
        <v>10612</v>
      </c>
      <c r="H83" s="73">
        <f>'[1]All age Groups'!M83</f>
        <v>9419</v>
      </c>
      <c r="I83" s="74">
        <f>'[1]All age Groups'!N83</f>
        <v>8942</v>
      </c>
      <c r="J83" s="73">
        <f>'[1]All age Groups'!O83</f>
        <v>6319</v>
      </c>
      <c r="K83" s="74">
        <f>'[1]All age Groups'!P83</f>
        <v>6498</v>
      </c>
      <c r="L83" s="73">
        <f>'[1]All age Groups'!Q83</f>
        <v>3517</v>
      </c>
      <c r="M83" s="74">
        <f>'[1]All age Groups'!R83</f>
        <v>4233</v>
      </c>
      <c r="N83" s="73">
        <f>'[1]All age Groups'!S83</f>
        <v>2862</v>
      </c>
      <c r="O83" s="74">
        <f>'[1]All age Groups'!T83</f>
        <v>4113</v>
      </c>
      <c r="P83" s="73">
        <f>'[1]All age Groups'!U83</f>
        <v>2623</v>
      </c>
      <c r="Q83" s="74">
        <f>'[1]All age Groups'!V83</f>
        <v>3040</v>
      </c>
      <c r="R83" s="73">
        <f>'[1]All age Groups'!W83</f>
        <v>2206</v>
      </c>
      <c r="S83" s="74">
        <f>'[1]All age Groups'!X83</f>
        <v>2623</v>
      </c>
      <c r="T83" s="73">
        <f>'[1]All age Groups'!Y83</f>
        <v>2027</v>
      </c>
      <c r="U83" s="74">
        <f>'[1]All age Groups'!Z83</f>
        <v>1490</v>
      </c>
      <c r="V83" s="73">
        <f>'[1]All age Groups'!AA83</f>
        <v>1133</v>
      </c>
      <c r="W83" s="74">
        <f>'[1]All age Groups'!AB83</f>
        <v>894</v>
      </c>
      <c r="X83" s="73">
        <f>'[1]All age Groups'!AC83</f>
        <v>1550</v>
      </c>
      <c r="Y83" s="74">
        <f>'[1]All age Groups'!AD83</f>
        <v>2146</v>
      </c>
      <c r="Z83" s="73">
        <f>'[1]All age Groups'!AE83</f>
        <v>715</v>
      </c>
      <c r="AA83" s="74">
        <f>'[1]All age Groups'!AF83</f>
        <v>835</v>
      </c>
      <c r="AB83" s="73">
        <f>'[1]All age Groups'!AG83</f>
        <v>1133</v>
      </c>
      <c r="AC83" s="74">
        <f>'[1]All age Groups'!AH83</f>
        <v>954</v>
      </c>
      <c r="AD83" s="73">
        <f>'[1]All age Groups'!AI83</f>
        <v>358</v>
      </c>
      <c r="AE83" s="74">
        <f>'[1]All age Groups'!AJ83</f>
        <v>417</v>
      </c>
      <c r="AF83" s="73">
        <f>'[1]All age Groups'!AK83</f>
        <v>596</v>
      </c>
      <c r="AG83" s="74">
        <f>'[1]All age Groups'!AL83</f>
        <v>715</v>
      </c>
      <c r="AH83" s="73">
        <f>'[1]All age Groups'!AM83</f>
        <v>179</v>
      </c>
      <c r="AI83" s="74">
        <f>'[1]All age Groups'!AN83</f>
        <v>179</v>
      </c>
      <c r="AJ83" s="73">
        <f>'[1]All age Groups'!AO83</f>
        <v>537</v>
      </c>
      <c r="AK83" s="74">
        <f>'[1]All age Groups'!AP83</f>
        <v>715</v>
      </c>
      <c r="AL83" s="75">
        <f t="shared" si="2"/>
        <v>58960</v>
      </c>
      <c r="AM83" s="75">
        <f t="shared" si="2"/>
        <v>59554</v>
      </c>
      <c r="AN83" s="76">
        <f t="shared" si="3"/>
        <v>118514</v>
      </c>
    </row>
    <row r="84" spans="1:40" x14ac:dyDescent="0.5">
      <c r="A84" s="71" t="str">
        <f>'[1]All age Groups'!C84</f>
        <v xml:space="preserve">Southwest  </v>
      </c>
      <c r="B84" s="72" t="str">
        <f>'[1]All age Groups'!D84</f>
        <v>Bay</v>
      </c>
      <c r="C84" s="72" t="str">
        <f>'[1]All age Groups'!E84</f>
        <v>Baydhaba</v>
      </c>
      <c r="D84" s="73">
        <f>'[1]All age Groups'!I84</f>
        <v>76865</v>
      </c>
      <c r="E84" s="74">
        <f>'[1]All age Groups'!J84</f>
        <v>71157</v>
      </c>
      <c r="F84" s="73">
        <f>'[1]All age Groups'!K84</f>
        <v>74963</v>
      </c>
      <c r="G84" s="74">
        <f>'[1]All age Groups'!L84</f>
        <v>67733</v>
      </c>
      <c r="H84" s="73">
        <f>'[1]All age Groups'!M84</f>
        <v>60122</v>
      </c>
      <c r="I84" s="74">
        <f>'[1]All age Groups'!N84</f>
        <v>57078</v>
      </c>
      <c r="J84" s="73">
        <f>'[1]All age Groups'!O84</f>
        <v>40335</v>
      </c>
      <c r="K84" s="74">
        <f>'[1]All age Groups'!P84</f>
        <v>41477</v>
      </c>
      <c r="L84" s="73">
        <f>'[1]All age Groups'!Q84</f>
        <v>22451</v>
      </c>
      <c r="M84" s="74">
        <f>'[1]All age Groups'!R84</f>
        <v>27017</v>
      </c>
      <c r="N84" s="73">
        <f>'[1]All age Groups'!S84</f>
        <v>18265</v>
      </c>
      <c r="O84" s="74">
        <f>'[1]All age Groups'!T84</f>
        <v>26256</v>
      </c>
      <c r="P84" s="73">
        <f>'[1]All age Groups'!U84</f>
        <v>16743</v>
      </c>
      <c r="Q84" s="74">
        <f>'[1]All age Groups'!V84</f>
        <v>19407</v>
      </c>
      <c r="R84" s="73">
        <f>'[1]All age Groups'!W84</f>
        <v>14079</v>
      </c>
      <c r="S84" s="74">
        <f>'[1]All age Groups'!X84</f>
        <v>16743</v>
      </c>
      <c r="T84" s="73">
        <f>'[1]All age Groups'!Y84</f>
        <v>12938</v>
      </c>
      <c r="U84" s="74">
        <f>'[1]All age Groups'!Z84</f>
        <v>9513</v>
      </c>
      <c r="V84" s="73">
        <f>'[1]All age Groups'!AA84</f>
        <v>7230</v>
      </c>
      <c r="W84" s="74">
        <f>'[1]All age Groups'!AB84</f>
        <v>5708</v>
      </c>
      <c r="X84" s="73">
        <f>'[1]All age Groups'!AC84</f>
        <v>9894</v>
      </c>
      <c r="Y84" s="74">
        <f>'[1]All age Groups'!AD84</f>
        <v>13699</v>
      </c>
      <c r="Z84" s="73">
        <f>'[1]All age Groups'!AE84</f>
        <v>4566</v>
      </c>
      <c r="AA84" s="74">
        <f>'[1]All age Groups'!AF84</f>
        <v>5327</v>
      </c>
      <c r="AB84" s="73">
        <f>'[1]All age Groups'!AG84</f>
        <v>7230</v>
      </c>
      <c r="AC84" s="74">
        <f>'[1]All age Groups'!AH84</f>
        <v>6088</v>
      </c>
      <c r="AD84" s="73">
        <f>'[1]All age Groups'!AI84</f>
        <v>2283</v>
      </c>
      <c r="AE84" s="74">
        <f>'[1]All age Groups'!AJ84</f>
        <v>2664</v>
      </c>
      <c r="AF84" s="73">
        <f>'[1]All age Groups'!AK84</f>
        <v>3805</v>
      </c>
      <c r="AG84" s="74">
        <f>'[1]All age Groups'!AL84</f>
        <v>4566</v>
      </c>
      <c r="AH84" s="73">
        <f>'[1]All age Groups'!AM84</f>
        <v>1142</v>
      </c>
      <c r="AI84" s="74">
        <f>'[1]All age Groups'!AN84</f>
        <v>1142</v>
      </c>
      <c r="AJ84" s="73">
        <f>'[1]All age Groups'!AO84</f>
        <v>3425</v>
      </c>
      <c r="AK84" s="74">
        <f>'[1]All age Groups'!AP84</f>
        <v>4566</v>
      </c>
      <c r="AL84" s="75">
        <f t="shared" si="2"/>
        <v>376336</v>
      </c>
      <c r="AM84" s="75">
        <f t="shared" si="2"/>
        <v>380141</v>
      </c>
      <c r="AN84" s="76">
        <f t="shared" si="3"/>
        <v>756477</v>
      </c>
    </row>
    <row r="85" spans="1:40" x14ac:dyDescent="0.5">
      <c r="A85" s="71" t="str">
        <f>'[1]All age Groups'!C85</f>
        <v xml:space="preserve">Southwest  </v>
      </c>
      <c r="B85" s="72" t="str">
        <f>'[1]All age Groups'!D85</f>
        <v>Bay</v>
      </c>
      <c r="C85" s="72" t="str">
        <f>'[1]All age Groups'!E85</f>
        <v>Buur Hakaba</v>
      </c>
      <c r="D85" s="73">
        <f>'[1]All age Groups'!I85</f>
        <v>21398</v>
      </c>
      <c r="E85" s="74">
        <f>'[1]All age Groups'!J85</f>
        <v>19809</v>
      </c>
      <c r="F85" s="73">
        <f>'[1]All age Groups'!K85</f>
        <v>20868</v>
      </c>
      <c r="G85" s="74">
        <f>'[1]All age Groups'!L85</f>
        <v>18855</v>
      </c>
      <c r="H85" s="73">
        <f>'[1]All age Groups'!M85</f>
        <v>16737</v>
      </c>
      <c r="I85" s="74">
        <f>'[1]All age Groups'!N85</f>
        <v>15889</v>
      </c>
      <c r="J85" s="73">
        <f>'[1]All age Groups'!O85</f>
        <v>11228</v>
      </c>
      <c r="K85" s="74">
        <f>'[1]All age Groups'!P85</f>
        <v>11546</v>
      </c>
      <c r="L85" s="73">
        <f>'[1]All age Groups'!Q85</f>
        <v>6250</v>
      </c>
      <c r="M85" s="74">
        <f>'[1]All age Groups'!R85</f>
        <v>7521</v>
      </c>
      <c r="N85" s="73">
        <f>'[1]All age Groups'!S85</f>
        <v>5085</v>
      </c>
      <c r="O85" s="74">
        <f>'[1]All age Groups'!T85</f>
        <v>7309</v>
      </c>
      <c r="P85" s="73">
        <f>'[1]All age Groups'!U85</f>
        <v>4661</v>
      </c>
      <c r="Q85" s="74">
        <f>'[1]All age Groups'!V85</f>
        <v>5402</v>
      </c>
      <c r="R85" s="73">
        <f>'[1]All age Groups'!W85</f>
        <v>3919</v>
      </c>
      <c r="S85" s="74">
        <f>'[1]All age Groups'!X85</f>
        <v>4661</v>
      </c>
      <c r="T85" s="73">
        <f>'[1]All age Groups'!Y85</f>
        <v>3602</v>
      </c>
      <c r="U85" s="74">
        <f>'[1]All age Groups'!Z85</f>
        <v>2648</v>
      </c>
      <c r="V85" s="73">
        <f>'[1]All age Groups'!AA85</f>
        <v>2013</v>
      </c>
      <c r="W85" s="74">
        <f>'[1]All age Groups'!AB85</f>
        <v>1589</v>
      </c>
      <c r="X85" s="73">
        <f>'[1]All age Groups'!AC85</f>
        <v>2754</v>
      </c>
      <c r="Y85" s="74">
        <f>'[1]All age Groups'!AD85</f>
        <v>3813</v>
      </c>
      <c r="Z85" s="73">
        <f>'[1]All age Groups'!AE85</f>
        <v>1271</v>
      </c>
      <c r="AA85" s="74">
        <f>'[1]All age Groups'!AF85</f>
        <v>1483</v>
      </c>
      <c r="AB85" s="73">
        <f>'[1]All age Groups'!AG85</f>
        <v>2013</v>
      </c>
      <c r="AC85" s="74">
        <f>'[1]All age Groups'!AH85</f>
        <v>1695</v>
      </c>
      <c r="AD85" s="73">
        <f>'[1]All age Groups'!AI85</f>
        <v>636</v>
      </c>
      <c r="AE85" s="74">
        <f>'[1]All age Groups'!AJ85</f>
        <v>742</v>
      </c>
      <c r="AF85" s="73">
        <f>'[1]All age Groups'!AK85</f>
        <v>1059</v>
      </c>
      <c r="AG85" s="74">
        <f>'[1]All age Groups'!AL85</f>
        <v>1271</v>
      </c>
      <c r="AH85" s="73">
        <f>'[1]All age Groups'!AM85</f>
        <v>318</v>
      </c>
      <c r="AI85" s="74">
        <f>'[1]All age Groups'!AN85</f>
        <v>318</v>
      </c>
      <c r="AJ85" s="73">
        <f>'[1]All age Groups'!AO85</f>
        <v>953</v>
      </c>
      <c r="AK85" s="74">
        <f>'[1]All age Groups'!AP85</f>
        <v>1271</v>
      </c>
      <c r="AL85" s="75">
        <f t="shared" si="2"/>
        <v>104765</v>
      </c>
      <c r="AM85" s="75">
        <f t="shared" si="2"/>
        <v>105822</v>
      </c>
      <c r="AN85" s="76">
        <f t="shared" si="3"/>
        <v>210587</v>
      </c>
    </row>
    <row r="86" spans="1:40" x14ac:dyDescent="0.5">
      <c r="A86" s="71" t="str">
        <f>'[1]All age Groups'!C86</f>
        <v xml:space="preserve">Southwest  </v>
      </c>
      <c r="B86" s="72" t="str">
        <f>'[1]All age Groups'!D86</f>
        <v>Bay</v>
      </c>
      <c r="C86" s="72" t="str">
        <f>'[1]All age Groups'!E86</f>
        <v>Diinsoor</v>
      </c>
      <c r="D86" s="73">
        <f>'[1]All age Groups'!I86</f>
        <v>18206</v>
      </c>
      <c r="E86" s="74">
        <f>'[1]All age Groups'!J86</f>
        <v>16855</v>
      </c>
      <c r="F86" s="73">
        <f>'[1]All age Groups'!K86</f>
        <v>17756</v>
      </c>
      <c r="G86" s="74">
        <f>'[1]All age Groups'!L86</f>
        <v>16043</v>
      </c>
      <c r="H86" s="73">
        <f>'[1]All age Groups'!M86</f>
        <v>14241</v>
      </c>
      <c r="I86" s="74">
        <f>'[1]All age Groups'!N86</f>
        <v>13520</v>
      </c>
      <c r="J86" s="73">
        <f>'[1]All age Groups'!O86</f>
        <v>9554</v>
      </c>
      <c r="K86" s="74">
        <f>'[1]All age Groups'!P86</f>
        <v>9824</v>
      </c>
      <c r="L86" s="73">
        <f>'[1]All age Groups'!Q86</f>
        <v>5318</v>
      </c>
      <c r="M86" s="74">
        <f>'[1]All age Groups'!R86</f>
        <v>6399</v>
      </c>
      <c r="N86" s="73">
        <f>'[1]All age Groups'!S86</f>
        <v>4326</v>
      </c>
      <c r="O86" s="74">
        <f>'[1]All age Groups'!T86</f>
        <v>6219</v>
      </c>
      <c r="P86" s="73">
        <f>'[1]All age Groups'!U86</f>
        <v>3966</v>
      </c>
      <c r="Q86" s="74">
        <f>'[1]All age Groups'!V86</f>
        <v>4597</v>
      </c>
      <c r="R86" s="73">
        <f>'[1]All age Groups'!W86</f>
        <v>3335</v>
      </c>
      <c r="S86" s="74">
        <f>'[1]All age Groups'!X86</f>
        <v>3966</v>
      </c>
      <c r="T86" s="73">
        <f>'[1]All age Groups'!Y86</f>
        <v>3064</v>
      </c>
      <c r="U86" s="74">
        <f>'[1]All age Groups'!Z86</f>
        <v>2253</v>
      </c>
      <c r="V86" s="73">
        <f>'[1]All age Groups'!AA86</f>
        <v>1712</v>
      </c>
      <c r="W86" s="74">
        <f>'[1]All age Groups'!AB86</f>
        <v>1352</v>
      </c>
      <c r="X86" s="73">
        <f>'[1]All age Groups'!AC86</f>
        <v>2343</v>
      </c>
      <c r="Y86" s="74">
        <f>'[1]All age Groups'!AD86</f>
        <v>3245</v>
      </c>
      <c r="Z86" s="73">
        <f>'[1]All age Groups'!AE86</f>
        <v>1082</v>
      </c>
      <c r="AA86" s="74">
        <f>'[1]All age Groups'!AF86</f>
        <v>1262</v>
      </c>
      <c r="AB86" s="73">
        <f>'[1]All age Groups'!AG86</f>
        <v>1712</v>
      </c>
      <c r="AC86" s="74">
        <f>'[1]All age Groups'!AH86</f>
        <v>1442</v>
      </c>
      <c r="AD86" s="73">
        <f>'[1]All age Groups'!AI86</f>
        <v>541</v>
      </c>
      <c r="AE86" s="74">
        <f>'[1]All age Groups'!AJ86</f>
        <v>631</v>
      </c>
      <c r="AF86" s="73">
        <f>'[1]All age Groups'!AK86</f>
        <v>901</v>
      </c>
      <c r="AG86" s="74">
        <f>'[1]All age Groups'!AL86</f>
        <v>1082</v>
      </c>
      <c r="AH86" s="73">
        <f>'[1]All age Groups'!AM86</f>
        <v>270</v>
      </c>
      <c r="AI86" s="74">
        <f>'[1]All age Groups'!AN86</f>
        <v>270</v>
      </c>
      <c r="AJ86" s="73">
        <f>'[1]All age Groups'!AO86</f>
        <v>811</v>
      </c>
      <c r="AK86" s="74">
        <f>'[1]All age Groups'!AP86</f>
        <v>1082</v>
      </c>
      <c r="AL86" s="75">
        <f t="shared" si="2"/>
        <v>89138</v>
      </c>
      <c r="AM86" s="75">
        <f t="shared" si="2"/>
        <v>90042</v>
      </c>
      <c r="AN86" s="76">
        <f t="shared" si="3"/>
        <v>179180</v>
      </c>
    </row>
    <row r="87" spans="1:40" x14ac:dyDescent="0.5">
      <c r="A87" s="71" t="str">
        <f>'[1]All age Groups'!C87</f>
        <v xml:space="preserve">Southwest  </v>
      </c>
      <c r="B87" s="72" t="str">
        <f>'[1]All age Groups'!D87</f>
        <v>Bay</v>
      </c>
      <c r="C87" s="72" t="str">
        <f>'[1]All age Groups'!E87</f>
        <v>Qansax Dheere</v>
      </c>
      <c r="D87" s="73">
        <f>'[1]All age Groups'!I87</f>
        <v>14281</v>
      </c>
      <c r="E87" s="74">
        <f>'[1]All age Groups'!J87</f>
        <v>13220</v>
      </c>
      <c r="F87" s="73">
        <f>'[1]All age Groups'!K87</f>
        <v>13927</v>
      </c>
      <c r="G87" s="74">
        <f>'[1]All age Groups'!L87</f>
        <v>12584</v>
      </c>
      <c r="H87" s="73">
        <f>'[1]All age Groups'!M87</f>
        <v>11170</v>
      </c>
      <c r="I87" s="74">
        <f>'[1]All age Groups'!N87</f>
        <v>10605</v>
      </c>
      <c r="J87" s="73">
        <f>'[1]All age Groups'!O87</f>
        <v>7494</v>
      </c>
      <c r="K87" s="74">
        <f>'[1]All age Groups'!P87</f>
        <v>7706</v>
      </c>
      <c r="L87" s="73">
        <f>'[1]All age Groups'!Q87</f>
        <v>4171</v>
      </c>
      <c r="M87" s="74">
        <f>'[1]All age Groups'!R87</f>
        <v>5019</v>
      </c>
      <c r="N87" s="73">
        <f>'[1]All age Groups'!S87</f>
        <v>3393</v>
      </c>
      <c r="O87" s="74">
        <f>'[1]All age Groups'!T87</f>
        <v>4878</v>
      </c>
      <c r="P87" s="73">
        <f>'[1]All age Groups'!U87</f>
        <v>3111</v>
      </c>
      <c r="Q87" s="74">
        <f>'[1]All age Groups'!V87</f>
        <v>3606</v>
      </c>
      <c r="R87" s="73">
        <f>'[1]All age Groups'!W87</f>
        <v>2616</v>
      </c>
      <c r="S87" s="74">
        <f>'[1]All age Groups'!X87</f>
        <v>3111</v>
      </c>
      <c r="T87" s="73">
        <f>'[1]All age Groups'!Y87</f>
        <v>2404</v>
      </c>
      <c r="U87" s="74">
        <f>'[1]All age Groups'!Z87</f>
        <v>1767</v>
      </c>
      <c r="V87" s="73">
        <f>'[1]All age Groups'!AA87</f>
        <v>1343</v>
      </c>
      <c r="W87" s="74">
        <f>'[1]All age Groups'!AB87</f>
        <v>1060</v>
      </c>
      <c r="X87" s="73">
        <f>'[1]All age Groups'!AC87</f>
        <v>1838</v>
      </c>
      <c r="Y87" s="74">
        <f>'[1]All age Groups'!AD87</f>
        <v>2545</v>
      </c>
      <c r="Z87" s="73">
        <f>'[1]All age Groups'!AE87</f>
        <v>848</v>
      </c>
      <c r="AA87" s="74">
        <f>'[1]All age Groups'!AF87</f>
        <v>990</v>
      </c>
      <c r="AB87" s="73">
        <f>'[1]All age Groups'!AG87</f>
        <v>1343</v>
      </c>
      <c r="AC87" s="74">
        <f>'[1]All age Groups'!AH87</f>
        <v>1131</v>
      </c>
      <c r="AD87" s="73">
        <f>'[1]All age Groups'!AI87</f>
        <v>424</v>
      </c>
      <c r="AE87" s="74">
        <f>'[1]All age Groups'!AJ87</f>
        <v>495</v>
      </c>
      <c r="AF87" s="73">
        <f>'[1]All age Groups'!AK87</f>
        <v>707</v>
      </c>
      <c r="AG87" s="74">
        <f>'[1]All age Groups'!AL87</f>
        <v>848</v>
      </c>
      <c r="AH87" s="73">
        <f>'[1]All age Groups'!AM87</f>
        <v>212</v>
      </c>
      <c r="AI87" s="74">
        <f>'[1]All age Groups'!AN87</f>
        <v>212</v>
      </c>
      <c r="AJ87" s="73">
        <f>'[1]All age Groups'!AO87</f>
        <v>636</v>
      </c>
      <c r="AK87" s="74">
        <f>'[1]All age Groups'!AP87</f>
        <v>848</v>
      </c>
      <c r="AL87" s="75">
        <f t="shared" si="2"/>
        <v>69918</v>
      </c>
      <c r="AM87" s="75">
        <f t="shared" si="2"/>
        <v>70625</v>
      </c>
      <c r="AN87" s="76">
        <f t="shared" si="3"/>
        <v>140543</v>
      </c>
    </row>
    <row r="88" spans="1:40" x14ac:dyDescent="0.5">
      <c r="A88" s="71" t="str">
        <f>'[1]All age Groups'!C88</f>
        <v xml:space="preserve">Southwest  </v>
      </c>
      <c r="B88" s="72" t="str">
        <f>'[1]All age Groups'!D88</f>
        <v>Lower Shabelle</v>
      </c>
      <c r="C88" s="72" t="str">
        <f>'[1]All age Groups'!E88</f>
        <v>Afgooye</v>
      </c>
      <c r="D88" s="73">
        <f>'[1]All age Groups'!I88</f>
        <v>58474</v>
      </c>
      <c r="E88" s="74">
        <f>'[1]All age Groups'!J88</f>
        <v>54132</v>
      </c>
      <c r="F88" s="73">
        <f>'[1]All age Groups'!K88</f>
        <v>57026</v>
      </c>
      <c r="G88" s="74">
        <f>'[1]All age Groups'!L88</f>
        <v>51526</v>
      </c>
      <c r="H88" s="73">
        <f>'[1]All age Groups'!M88</f>
        <v>45737</v>
      </c>
      <c r="I88" s="74">
        <f>'[1]All age Groups'!N88</f>
        <v>43421</v>
      </c>
      <c r="J88" s="73">
        <f>'[1]All age Groups'!O88</f>
        <v>30684</v>
      </c>
      <c r="K88" s="74">
        <f>'[1]All age Groups'!P88</f>
        <v>31553</v>
      </c>
      <c r="L88" s="73">
        <f>'[1]All age Groups'!Q88</f>
        <v>17079</v>
      </c>
      <c r="M88" s="74">
        <f>'[1]All age Groups'!R88</f>
        <v>20553</v>
      </c>
      <c r="N88" s="73">
        <f>'[1]All age Groups'!S88</f>
        <v>13895</v>
      </c>
      <c r="O88" s="74">
        <f>'[1]All age Groups'!T88</f>
        <v>19974</v>
      </c>
      <c r="P88" s="73">
        <f>'[1]All age Groups'!U88</f>
        <v>12737</v>
      </c>
      <c r="Q88" s="74">
        <f>'[1]All age Groups'!V88</f>
        <v>14763</v>
      </c>
      <c r="R88" s="73">
        <f>'[1]All age Groups'!W88</f>
        <v>10711</v>
      </c>
      <c r="S88" s="74">
        <f>'[1]All age Groups'!X88</f>
        <v>12737</v>
      </c>
      <c r="T88" s="73">
        <f>'[1]All age Groups'!Y88</f>
        <v>9842</v>
      </c>
      <c r="U88" s="74">
        <f>'[1]All age Groups'!Z88</f>
        <v>7237</v>
      </c>
      <c r="V88" s="73">
        <f>'[1]All age Groups'!AA88</f>
        <v>5500</v>
      </c>
      <c r="W88" s="74">
        <f>'[1]All age Groups'!AB88</f>
        <v>4342</v>
      </c>
      <c r="X88" s="73">
        <f>'[1]All age Groups'!AC88</f>
        <v>7526</v>
      </c>
      <c r="Y88" s="74">
        <f>'[1]All age Groups'!AD88</f>
        <v>10421</v>
      </c>
      <c r="Z88" s="73">
        <f>'[1]All age Groups'!AE88</f>
        <v>3474</v>
      </c>
      <c r="AA88" s="74">
        <f>'[1]All age Groups'!AF88</f>
        <v>4053</v>
      </c>
      <c r="AB88" s="73">
        <f>'[1]All age Groups'!AG88</f>
        <v>5500</v>
      </c>
      <c r="AC88" s="74">
        <f>'[1]All age Groups'!AH88</f>
        <v>4632</v>
      </c>
      <c r="AD88" s="73">
        <f>'[1]All age Groups'!AI88</f>
        <v>1737</v>
      </c>
      <c r="AE88" s="74">
        <f>'[1]All age Groups'!AJ88</f>
        <v>2026</v>
      </c>
      <c r="AF88" s="73">
        <f>'[1]All age Groups'!AK88</f>
        <v>2895</v>
      </c>
      <c r="AG88" s="74">
        <f>'[1]All age Groups'!AL88</f>
        <v>3474</v>
      </c>
      <c r="AH88" s="73">
        <f>'[1]All age Groups'!AM88</f>
        <v>868</v>
      </c>
      <c r="AI88" s="74">
        <f>'[1]All age Groups'!AN88</f>
        <v>868</v>
      </c>
      <c r="AJ88" s="73">
        <f>'[1]All age Groups'!AO88</f>
        <v>2605</v>
      </c>
      <c r="AK88" s="74">
        <f>'[1]All age Groups'!AP88</f>
        <v>3474</v>
      </c>
      <c r="AL88" s="75">
        <f t="shared" si="2"/>
        <v>286290</v>
      </c>
      <c r="AM88" s="75">
        <f t="shared" si="2"/>
        <v>289186</v>
      </c>
      <c r="AN88" s="76">
        <f t="shared" si="3"/>
        <v>575476</v>
      </c>
    </row>
    <row r="89" spans="1:40" x14ac:dyDescent="0.5">
      <c r="A89" s="71" t="str">
        <f>'[1]All age Groups'!C89</f>
        <v xml:space="preserve">Southwest  </v>
      </c>
      <c r="B89" s="72" t="str">
        <f>'[1]All age Groups'!D89</f>
        <v>Lower Shabelle</v>
      </c>
      <c r="C89" s="72" t="str">
        <f>'[1]All age Groups'!E89</f>
        <v>Baraawe</v>
      </c>
      <c r="D89" s="73">
        <f>'[1]All age Groups'!I89</f>
        <v>6783</v>
      </c>
      <c r="E89" s="74">
        <f>'[1]All age Groups'!J89</f>
        <v>6279</v>
      </c>
      <c r="F89" s="73">
        <f>'[1]All age Groups'!K89</f>
        <v>6615</v>
      </c>
      <c r="G89" s="74">
        <f>'[1]All age Groups'!L89</f>
        <v>5977</v>
      </c>
      <c r="H89" s="73">
        <f>'[1]All age Groups'!M89</f>
        <v>5305</v>
      </c>
      <c r="I89" s="74">
        <f>'[1]All age Groups'!N89</f>
        <v>5037</v>
      </c>
      <c r="J89" s="73">
        <f>'[1]All age Groups'!O89</f>
        <v>3559</v>
      </c>
      <c r="K89" s="74">
        <f>'[1]All age Groups'!P89</f>
        <v>3660</v>
      </c>
      <c r="L89" s="73">
        <f>'[1]All age Groups'!Q89</f>
        <v>1981</v>
      </c>
      <c r="M89" s="74">
        <f>'[1]All age Groups'!R89</f>
        <v>2384</v>
      </c>
      <c r="N89" s="73">
        <f>'[1]All age Groups'!S89</f>
        <v>1612</v>
      </c>
      <c r="O89" s="74">
        <f>'[1]All age Groups'!T89</f>
        <v>2317</v>
      </c>
      <c r="P89" s="73">
        <f>'[1]All age Groups'!U89</f>
        <v>1477</v>
      </c>
      <c r="Q89" s="74">
        <f>'[1]All age Groups'!V89</f>
        <v>1712</v>
      </c>
      <c r="R89" s="73">
        <f>'[1]All age Groups'!W89</f>
        <v>1242</v>
      </c>
      <c r="S89" s="74">
        <f>'[1]All age Groups'!X89</f>
        <v>1477</v>
      </c>
      <c r="T89" s="73">
        <f>'[1]All age Groups'!Y89</f>
        <v>1142</v>
      </c>
      <c r="U89" s="74">
        <f>'[1]All age Groups'!Z89</f>
        <v>839</v>
      </c>
      <c r="V89" s="73">
        <f>'[1]All age Groups'!AA89</f>
        <v>638</v>
      </c>
      <c r="W89" s="74">
        <f>'[1]All age Groups'!AB89</f>
        <v>504</v>
      </c>
      <c r="X89" s="73">
        <f>'[1]All age Groups'!AC89</f>
        <v>873</v>
      </c>
      <c r="Y89" s="74">
        <f>'[1]All age Groups'!AD89</f>
        <v>1209</v>
      </c>
      <c r="Z89" s="73">
        <f>'[1]All age Groups'!AE89</f>
        <v>403</v>
      </c>
      <c r="AA89" s="74">
        <f>'[1]All age Groups'!AF89</f>
        <v>470</v>
      </c>
      <c r="AB89" s="73">
        <f>'[1]All age Groups'!AG89</f>
        <v>638</v>
      </c>
      <c r="AC89" s="74">
        <f>'[1]All age Groups'!AH89</f>
        <v>537</v>
      </c>
      <c r="AD89" s="73">
        <f>'[1]All age Groups'!AI89</f>
        <v>201</v>
      </c>
      <c r="AE89" s="74">
        <f>'[1]All age Groups'!AJ89</f>
        <v>235</v>
      </c>
      <c r="AF89" s="73">
        <f>'[1]All age Groups'!AK89</f>
        <v>336</v>
      </c>
      <c r="AG89" s="74">
        <f>'[1]All age Groups'!AL89</f>
        <v>403</v>
      </c>
      <c r="AH89" s="73">
        <f>'[1]All age Groups'!AM89</f>
        <v>101</v>
      </c>
      <c r="AI89" s="74">
        <f>'[1]All age Groups'!AN89</f>
        <v>101</v>
      </c>
      <c r="AJ89" s="73">
        <f>'[1]All age Groups'!AO89</f>
        <v>302</v>
      </c>
      <c r="AK89" s="74">
        <f>'[1]All age Groups'!AP89</f>
        <v>403</v>
      </c>
      <c r="AL89" s="75">
        <f t="shared" si="2"/>
        <v>33208</v>
      </c>
      <c r="AM89" s="75">
        <f t="shared" si="2"/>
        <v>33544</v>
      </c>
      <c r="AN89" s="76">
        <f t="shared" si="3"/>
        <v>66752</v>
      </c>
    </row>
    <row r="90" spans="1:40" x14ac:dyDescent="0.5">
      <c r="A90" s="71" t="str">
        <f>'[1]All age Groups'!C90</f>
        <v xml:space="preserve">Southwest  </v>
      </c>
      <c r="B90" s="72" t="str">
        <f>'[1]All age Groups'!D90</f>
        <v>Lower Shabelle</v>
      </c>
      <c r="C90" s="72" t="str">
        <f>'[1]All age Groups'!E90</f>
        <v>Kurtunwaarey</v>
      </c>
      <c r="D90" s="73">
        <f>'[1]All age Groups'!I90</f>
        <v>7983</v>
      </c>
      <c r="E90" s="74">
        <f>'[1]All age Groups'!J90</f>
        <v>7390</v>
      </c>
      <c r="F90" s="73">
        <f>'[1]All age Groups'!K90</f>
        <v>7785</v>
      </c>
      <c r="G90" s="74">
        <f>'[1]All age Groups'!L90</f>
        <v>7034</v>
      </c>
      <c r="H90" s="73">
        <f>'[1]All age Groups'!M90</f>
        <v>6244</v>
      </c>
      <c r="I90" s="74">
        <f>'[1]All age Groups'!N90</f>
        <v>5928</v>
      </c>
      <c r="J90" s="73">
        <f>'[1]All age Groups'!O90</f>
        <v>4189</v>
      </c>
      <c r="K90" s="74">
        <f>'[1]All age Groups'!P90</f>
        <v>4308</v>
      </c>
      <c r="L90" s="73">
        <f>'[1]All age Groups'!Q90</f>
        <v>2332</v>
      </c>
      <c r="M90" s="74">
        <f>'[1]All age Groups'!R90</f>
        <v>2806</v>
      </c>
      <c r="N90" s="73">
        <f>'[1]All age Groups'!S90</f>
        <v>1897</v>
      </c>
      <c r="O90" s="74">
        <f>'[1]All age Groups'!T90</f>
        <v>2727</v>
      </c>
      <c r="P90" s="73">
        <f>'[1]All age Groups'!U90</f>
        <v>1739</v>
      </c>
      <c r="Q90" s="74">
        <f>'[1]All age Groups'!V90</f>
        <v>2015</v>
      </c>
      <c r="R90" s="73">
        <f>'[1]All age Groups'!W90</f>
        <v>1462</v>
      </c>
      <c r="S90" s="74">
        <f>'[1]All age Groups'!X90</f>
        <v>1739</v>
      </c>
      <c r="T90" s="73">
        <f>'[1]All age Groups'!Y90</f>
        <v>1344</v>
      </c>
      <c r="U90" s="74">
        <f>'[1]All age Groups'!Z90</f>
        <v>988</v>
      </c>
      <c r="V90" s="73">
        <f>'[1]All age Groups'!AA90</f>
        <v>751</v>
      </c>
      <c r="W90" s="74">
        <f>'[1]All age Groups'!AB90</f>
        <v>593</v>
      </c>
      <c r="X90" s="73">
        <f>'[1]All age Groups'!AC90</f>
        <v>1027</v>
      </c>
      <c r="Y90" s="74">
        <f>'[1]All age Groups'!AD90</f>
        <v>1423</v>
      </c>
      <c r="Z90" s="73">
        <f>'[1]All age Groups'!AE90</f>
        <v>474</v>
      </c>
      <c r="AA90" s="74">
        <f>'[1]All age Groups'!AF90</f>
        <v>553</v>
      </c>
      <c r="AB90" s="73">
        <f>'[1]All age Groups'!AG90</f>
        <v>751</v>
      </c>
      <c r="AC90" s="74">
        <f>'[1]All age Groups'!AH90</f>
        <v>632</v>
      </c>
      <c r="AD90" s="73">
        <f>'[1]All age Groups'!AI90</f>
        <v>237</v>
      </c>
      <c r="AE90" s="74">
        <f>'[1]All age Groups'!AJ90</f>
        <v>277</v>
      </c>
      <c r="AF90" s="73">
        <f>'[1]All age Groups'!AK90</f>
        <v>395</v>
      </c>
      <c r="AG90" s="74">
        <f>'[1]All age Groups'!AL90</f>
        <v>474</v>
      </c>
      <c r="AH90" s="73">
        <f>'[1]All age Groups'!AM90</f>
        <v>119</v>
      </c>
      <c r="AI90" s="74">
        <f>'[1]All age Groups'!AN90</f>
        <v>119</v>
      </c>
      <c r="AJ90" s="73">
        <f>'[1]All age Groups'!AO90</f>
        <v>356</v>
      </c>
      <c r="AK90" s="74">
        <f>'[1]All age Groups'!AP90</f>
        <v>474</v>
      </c>
      <c r="AL90" s="75">
        <f t="shared" si="2"/>
        <v>39085</v>
      </c>
      <c r="AM90" s="75">
        <f t="shared" si="2"/>
        <v>39480</v>
      </c>
      <c r="AN90" s="76">
        <f t="shared" si="3"/>
        <v>78565</v>
      </c>
    </row>
    <row r="91" spans="1:40" x14ac:dyDescent="0.5">
      <c r="A91" s="71" t="str">
        <f>'[1]All age Groups'!C91</f>
        <v xml:space="preserve">Southwest  </v>
      </c>
      <c r="B91" s="72" t="str">
        <f>'[1]All age Groups'!D91</f>
        <v>Lower Shabelle</v>
      </c>
      <c r="C91" s="72" t="str">
        <f>'[1]All age Groups'!E91</f>
        <v>Marka</v>
      </c>
      <c r="D91" s="73">
        <f>'[1]All age Groups'!I91</f>
        <v>30595</v>
      </c>
      <c r="E91" s="74">
        <f>'[1]All age Groups'!J91</f>
        <v>28323</v>
      </c>
      <c r="F91" s="73">
        <f>'[1]All age Groups'!K91</f>
        <v>29838</v>
      </c>
      <c r="G91" s="74">
        <f>'[1]All age Groups'!L91</f>
        <v>26960</v>
      </c>
      <c r="H91" s="73">
        <f>'[1]All age Groups'!M91</f>
        <v>23931</v>
      </c>
      <c r="I91" s="74">
        <f>'[1]All age Groups'!N91</f>
        <v>22719</v>
      </c>
      <c r="J91" s="73">
        <f>'[1]All age Groups'!O91</f>
        <v>16055</v>
      </c>
      <c r="K91" s="74">
        <f>'[1]All age Groups'!P91</f>
        <v>16509</v>
      </c>
      <c r="L91" s="73">
        <f>'[1]All age Groups'!Q91</f>
        <v>8936</v>
      </c>
      <c r="M91" s="74">
        <f>'[1]All age Groups'!R91</f>
        <v>10754</v>
      </c>
      <c r="N91" s="73">
        <f>'[1]All age Groups'!S91</f>
        <v>7270</v>
      </c>
      <c r="O91" s="74">
        <f>'[1]All age Groups'!T91</f>
        <v>10451</v>
      </c>
      <c r="P91" s="73">
        <f>'[1]All age Groups'!U91</f>
        <v>6664</v>
      </c>
      <c r="Q91" s="74">
        <f>'[1]All age Groups'!V91</f>
        <v>7725</v>
      </c>
      <c r="R91" s="73">
        <f>'[1]All age Groups'!W91</f>
        <v>5604</v>
      </c>
      <c r="S91" s="74">
        <f>'[1]All age Groups'!X91</f>
        <v>6664</v>
      </c>
      <c r="T91" s="73">
        <f>'[1]All age Groups'!Y91</f>
        <v>5150</v>
      </c>
      <c r="U91" s="74">
        <f>'[1]All age Groups'!Z91</f>
        <v>3787</v>
      </c>
      <c r="V91" s="73">
        <f>'[1]All age Groups'!AA91</f>
        <v>2878</v>
      </c>
      <c r="W91" s="74">
        <f>'[1]All age Groups'!AB91</f>
        <v>2272</v>
      </c>
      <c r="X91" s="73">
        <f>'[1]All age Groups'!AC91</f>
        <v>3938</v>
      </c>
      <c r="Y91" s="74">
        <f>'[1]All age Groups'!AD91</f>
        <v>5453</v>
      </c>
      <c r="Z91" s="73">
        <f>'[1]All age Groups'!AE91</f>
        <v>1818</v>
      </c>
      <c r="AA91" s="74">
        <f>'[1]All age Groups'!AF91</f>
        <v>2120</v>
      </c>
      <c r="AB91" s="73">
        <f>'[1]All age Groups'!AG91</f>
        <v>2878</v>
      </c>
      <c r="AC91" s="74">
        <f>'[1]All age Groups'!AH91</f>
        <v>2423</v>
      </c>
      <c r="AD91" s="73">
        <f>'[1]All age Groups'!AI91</f>
        <v>909</v>
      </c>
      <c r="AE91" s="74">
        <f>'[1]All age Groups'!AJ91</f>
        <v>1060</v>
      </c>
      <c r="AF91" s="73">
        <f>'[1]All age Groups'!AK91</f>
        <v>1515</v>
      </c>
      <c r="AG91" s="74">
        <f>'[1]All age Groups'!AL91</f>
        <v>1818</v>
      </c>
      <c r="AH91" s="73">
        <f>'[1]All age Groups'!AM91</f>
        <v>454</v>
      </c>
      <c r="AI91" s="74">
        <f>'[1]All age Groups'!AN91</f>
        <v>454</v>
      </c>
      <c r="AJ91" s="73">
        <f>'[1]All age Groups'!AO91</f>
        <v>1363</v>
      </c>
      <c r="AK91" s="74">
        <f>'[1]All age Groups'!AP91</f>
        <v>1818</v>
      </c>
      <c r="AL91" s="75">
        <f t="shared" si="2"/>
        <v>149796</v>
      </c>
      <c r="AM91" s="75">
        <f t="shared" si="2"/>
        <v>151310</v>
      </c>
      <c r="AN91" s="76">
        <f t="shared" si="3"/>
        <v>301106</v>
      </c>
    </row>
    <row r="92" spans="1:40" x14ac:dyDescent="0.5">
      <c r="A92" s="71" t="str">
        <f>'[1]All age Groups'!C92</f>
        <v xml:space="preserve">Southwest  </v>
      </c>
      <c r="B92" s="72" t="str">
        <f>'[1]All age Groups'!D92</f>
        <v>Lower Shabelle</v>
      </c>
      <c r="C92" s="72" t="str">
        <f>'[1]All age Groups'!E92</f>
        <v>Qoryooley</v>
      </c>
      <c r="D92" s="73">
        <f>'[1]All age Groups'!I92</f>
        <v>15670</v>
      </c>
      <c r="E92" s="74">
        <f>'[1]All age Groups'!J92</f>
        <v>14506</v>
      </c>
      <c r="F92" s="73">
        <f>'[1]All age Groups'!K92</f>
        <v>15282</v>
      </c>
      <c r="G92" s="74">
        <f>'[1]All age Groups'!L92</f>
        <v>13808</v>
      </c>
      <c r="H92" s="73">
        <f>'[1]All age Groups'!M92</f>
        <v>12256</v>
      </c>
      <c r="I92" s="74">
        <f>'[1]All age Groups'!N92</f>
        <v>11636</v>
      </c>
      <c r="J92" s="73">
        <f>'[1]All age Groups'!O92</f>
        <v>8223</v>
      </c>
      <c r="K92" s="74">
        <f>'[1]All age Groups'!P92</f>
        <v>8455</v>
      </c>
      <c r="L92" s="73">
        <f>'[1]All age Groups'!Q92</f>
        <v>4577</v>
      </c>
      <c r="M92" s="74">
        <f>'[1]All age Groups'!R92</f>
        <v>5508</v>
      </c>
      <c r="N92" s="73">
        <f>'[1]All age Groups'!S92</f>
        <v>3723</v>
      </c>
      <c r="O92" s="74">
        <f>'[1]All age Groups'!T92</f>
        <v>5353</v>
      </c>
      <c r="P92" s="73">
        <f>'[1]All age Groups'!U92</f>
        <v>3413</v>
      </c>
      <c r="Q92" s="74">
        <f>'[1]All age Groups'!V92</f>
        <v>3956</v>
      </c>
      <c r="R92" s="73">
        <f>'[1]All age Groups'!W92</f>
        <v>2870</v>
      </c>
      <c r="S92" s="74">
        <f>'[1]All age Groups'!X92</f>
        <v>3413</v>
      </c>
      <c r="T92" s="73">
        <f>'[1]All age Groups'!Y92</f>
        <v>2637</v>
      </c>
      <c r="U92" s="74">
        <f>'[1]All age Groups'!Z92</f>
        <v>1939</v>
      </c>
      <c r="V92" s="73">
        <f>'[1]All age Groups'!AA92</f>
        <v>1474</v>
      </c>
      <c r="W92" s="74">
        <f>'[1]All age Groups'!AB92</f>
        <v>1164</v>
      </c>
      <c r="X92" s="73">
        <f>'[1]All age Groups'!AC92</f>
        <v>2017</v>
      </c>
      <c r="Y92" s="74">
        <f>'[1]All age Groups'!AD92</f>
        <v>2793</v>
      </c>
      <c r="Z92" s="73">
        <f>'[1]All age Groups'!AE92</f>
        <v>931</v>
      </c>
      <c r="AA92" s="74">
        <f>'[1]All age Groups'!AF92</f>
        <v>1086</v>
      </c>
      <c r="AB92" s="73">
        <f>'[1]All age Groups'!AG92</f>
        <v>1474</v>
      </c>
      <c r="AC92" s="74">
        <f>'[1]All age Groups'!AH92</f>
        <v>1241</v>
      </c>
      <c r="AD92" s="73">
        <f>'[1]All age Groups'!AI92</f>
        <v>465</v>
      </c>
      <c r="AE92" s="74">
        <f>'[1]All age Groups'!AJ92</f>
        <v>543</v>
      </c>
      <c r="AF92" s="73">
        <f>'[1]All age Groups'!AK92</f>
        <v>776</v>
      </c>
      <c r="AG92" s="74">
        <f>'[1]All age Groups'!AL92</f>
        <v>931</v>
      </c>
      <c r="AH92" s="73">
        <f>'[1]All age Groups'!AM92</f>
        <v>233</v>
      </c>
      <c r="AI92" s="74">
        <f>'[1]All age Groups'!AN92</f>
        <v>233</v>
      </c>
      <c r="AJ92" s="73">
        <f>'[1]All age Groups'!AO92</f>
        <v>698</v>
      </c>
      <c r="AK92" s="74">
        <f>'[1]All age Groups'!AP92</f>
        <v>931</v>
      </c>
      <c r="AL92" s="75">
        <f t="shared" si="2"/>
        <v>76719</v>
      </c>
      <c r="AM92" s="75">
        <f t="shared" si="2"/>
        <v>77496</v>
      </c>
      <c r="AN92" s="76">
        <f t="shared" si="3"/>
        <v>154215</v>
      </c>
    </row>
    <row r="93" spans="1:40" x14ac:dyDescent="0.5">
      <c r="A93" s="71" t="str">
        <f>'[1]All age Groups'!C93</f>
        <v xml:space="preserve">Southwest  </v>
      </c>
      <c r="B93" s="72" t="str">
        <f>'[1]All age Groups'!D93</f>
        <v>Lower Shabelle</v>
      </c>
      <c r="C93" s="72" t="str">
        <f>'[1]All age Groups'!E93</f>
        <v>Sablaale</v>
      </c>
      <c r="D93" s="73">
        <f>'[1]All age Groups'!I93</f>
        <v>7838</v>
      </c>
      <c r="E93" s="74">
        <f>'[1]All age Groups'!J93</f>
        <v>7256</v>
      </c>
      <c r="F93" s="73">
        <f>'[1]All age Groups'!K93</f>
        <v>7644</v>
      </c>
      <c r="G93" s="74">
        <f>'[1]All age Groups'!L93</f>
        <v>6906</v>
      </c>
      <c r="H93" s="73">
        <f>'[1]All age Groups'!M93</f>
        <v>6130</v>
      </c>
      <c r="I93" s="74">
        <f>'[1]All age Groups'!N93</f>
        <v>5820</v>
      </c>
      <c r="J93" s="73">
        <f>'[1]All age Groups'!O93</f>
        <v>4113</v>
      </c>
      <c r="K93" s="74">
        <f>'[1]All age Groups'!P93</f>
        <v>4229</v>
      </c>
      <c r="L93" s="73">
        <f>'[1]All age Groups'!Q93</f>
        <v>2289</v>
      </c>
      <c r="M93" s="74">
        <f>'[1]All age Groups'!R93</f>
        <v>2755</v>
      </c>
      <c r="N93" s="73">
        <f>'[1]All age Groups'!S93</f>
        <v>1862</v>
      </c>
      <c r="O93" s="74">
        <f>'[1]All age Groups'!T93</f>
        <v>2677</v>
      </c>
      <c r="P93" s="73">
        <f>'[1]All age Groups'!U93</f>
        <v>1707</v>
      </c>
      <c r="Q93" s="74">
        <f>'[1]All age Groups'!V93</f>
        <v>1979</v>
      </c>
      <c r="R93" s="73">
        <f>'[1]All age Groups'!W93</f>
        <v>1436</v>
      </c>
      <c r="S93" s="74">
        <f>'[1]All age Groups'!X93</f>
        <v>1707</v>
      </c>
      <c r="T93" s="73">
        <f>'[1]All age Groups'!Y93</f>
        <v>1319</v>
      </c>
      <c r="U93" s="74">
        <f>'[1]All age Groups'!Z93</f>
        <v>970</v>
      </c>
      <c r="V93" s="73">
        <f>'[1]All age Groups'!AA93</f>
        <v>737</v>
      </c>
      <c r="W93" s="74">
        <f>'[1]All age Groups'!AB93</f>
        <v>582</v>
      </c>
      <c r="X93" s="73">
        <f>'[1]All age Groups'!AC93</f>
        <v>1009</v>
      </c>
      <c r="Y93" s="74">
        <f>'[1]All age Groups'!AD93</f>
        <v>1397</v>
      </c>
      <c r="Z93" s="73">
        <f>'[1]All age Groups'!AE93</f>
        <v>466</v>
      </c>
      <c r="AA93" s="74">
        <f>'[1]All age Groups'!AF93</f>
        <v>543</v>
      </c>
      <c r="AB93" s="73">
        <f>'[1]All age Groups'!AG93</f>
        <v>737</v>
      </c>
      <c r="AC93" s="74">
        <f>'[1]All age Groups'!AH93</f>
        <v>621</v>
      </c>
      <c r="AD93" s="73">
        <f>'[1]All age Groups'!AI93</f>
        <v>233</v>
      </c>
      <c r="AE93" s="74">
        <f>'[1]All age Groups'!AJ93</f>
        <v>272</v>
      </c>
      <c r="AF93" s="73">
        <f>'[1]All age Groups'!AK93</f>
        <v>388</v>
      </c>
      <c r="AG93" s="74">
        <f>'[1]All age Groups'!AL93</f>
        <v>466</v>
      </c>
      <c r="AH93" s="73">
        <f>'[1]All age Groups'!AM93</f>
        <v>116</v>
      </c>
      <c r="AI93" s="74">
        <f>'[1]All age Groups'!AN93</f>
        <v>116</v>
      </c>
      <c r="AJ93" s="73">
        <f>'[1]All age Groups'!AO93</f>
        <v>349</v>
      </c>
      <c r="AK93" s="74">
        <f>'[1]All age Groups'!AP93</f>
        <v>466</v>
      </c>
      <c r="AL93" s="75">
        <f t="shared" si="2"/>
        <v>38373</v>
      </c>
      <c r="AM93" s="75">
        <f t="shared" si="2"/>
        <v>38762</v>
      </c>
      <c r="AN93" s="76">
        <f t="shared" si="3"/>
        <v>77135</v>
      </c>
    </row>
    <row r="94" spans="1:40" x14ac:dyDescent="0.5">
      <c r="A94" s="71" t="str">
        <f>'[1]All age Groups'!C94</f>
        <v xml:space="preserve">Southwest  </v>
      </c>
      <c r="B94" s="72" t="str">
        <f>'[1]All age Groups'!D94</f>
        <v>Lower Shabelle</v>
      </c>
      <c r="C94" s="72" t="str">
        <f>'[1]All age Groups'!E94</f>
        <v>Wanla Weyn</v>
      </c>
      <c r="D94" s="73">
        <f>'[1]All age Groups'!I94</f>
        <v>39568</v>
      </c>
      <c r="E94" s="74">
        <f>'[1]All age Groups'!J94</f>
        <v>36630</v>
      </c>
      <c r="F94" s="73">
        <f>'[1]All age Groups'!K94</f>
        <v>38589</v>
      </c>
      <c r="G94" s="74">
        <f>'[1]All age Groups'!L94</f>
        <v>34867</v>
      </c>
      <c r="H94" s="73">
        <f>'[1]All age Groups'!M94</f>
        <v>30950</v>
      </c>
      <c r="I94" s="74">
        <f>'[1]All age Groups'!N94</f>
        <v>29383</v>
      </c>
      <c r="J94" s="73">
        <f>'[1]All age Groups'!O94</f>
        <v>20764</v>
      </c>
      <c r="K94" s="74">
        <f>'[1]All age Groups'!P94</f>
        <v>21351</v>
      </c>
      <c r="L94" s="73">
        <f>'[1]All age Groups'!Q94</f>
        <v>11557</v>
      </c>
      <c r="M94" s="74">
        <f>'[1]All age Groups'!R94</f>
        <v>13908</v>
      </c>
      <c r="N94" s="73">
        <f>'[1]All age Groups'!S94</f>
        <v>9402</v>
      </c>
      <c r="O94" s="74">
        <f>'[1]All age Groups'!T94</f>
        <v>13516</v>
      </c>
      <c r="P94" s="73">
        <f>'[1]All age Groups'!U94</f>
        <v>8619</v>
      </c>
      <c r="Q94" s="74">
        <f>'[1]All age Groups'!V94</f>
        <v>9990</v>
      </c>
      <c r="R94" s="73">
        <f>'[1]All age Groups'!W94</f>
        <v>7248</v>
      </c>
      <c r="S94" s="74">
        <f>'[1]All age Groups'!X94</f>
        <v>8619</v>
      </c>
      <c r="T94" s="73">
        <f>'[1]All age Groups'!Y94</f>
        <v>6660</v>
      </c>
      <c r="U94" s="74">
        <f>'[1]All age Groups'!Z94</f>
        <v>4897</v>
      </c>
      <c r="V94" s="73">
        <f>'[1]All age Groups'!AA94</f>
        <v>3722</v>
      </c>
      <c r="W94" s="74">
        <f>'[1]All age Groups'!AB94</f>
        <v>2938</v>
      </c>
      <c r="X94" s="73">
        <f>'[1]All age Groups'!AC94</f>
        <v>5093</v>
      </c>
      <c r="Y94" s="74">
        <f>'[1]All age Groups'!AD94</f>
        <v>7052</v>
      </c>
      <c r="Z94" s="73">
        <f>'[1]All age Groups'!AE94</f>
        <v>2351</v>
      </c>
      <c r="AA94" s="74">
        <f>'[1]All age Groups'!AF94</f>
        <v>2742</v>
      </c>
      <c r="AB94" s="73">
        <f>'[1]All age Groups'!AG94</f>
        <v>3722</v>
      </c>
      <c r="AC94" s="74">
        <f>'[1]All age Groups'!AH94</f>
        <v>3134</v>
      </c>
      <c r="AD94" s="73">
        <f>'[1]All age Groups'!AI94</f>
        <v>1175</v>
      </c>
      <c r="AE94" s="74">
        <f>'[1]All age Groups'!AJ94</f>
        <v>1371</v>
      </c>
      <c r="AF94" s="73">
        <f>'[1]All age Groups'!AK94</f>
        <v>1959</v>
      </c>
      <c r="AG94" s="74">
        <f>'[1]All age Groups'!AL94</f>
        <v>2351</v>
      </c>
      <c r="AH94" s="73">
        <f>'[1]All age Groups'!AM94</f>
        <v>588</v>
      </c>
      <c r="AI94" s="74">
        <f>'[1]All age Groups'!AN94</f>
        <v>588</v>
      </c>
      <c r="AJ94" s="73">
        <f>'[1]All age Groups'!AO94</f>
        <v>1763</v>
      </c>
      <c r="AK94" s="74">
        <f>'[1]All age Groups'!AP94</f>
        <v>2351</v>
      </c>
      <c r="AL94" s="75">
        <f t="shared" si="2"/>
        <v>193730</v>
      </c>
      <c r="AM94" s="75">
        <f t="shared" si="2"/>
        <v>195688</v>
      </c>
      <c r="AN94" s="76">
        <f t="shared" si="3"/>
        <v>389418</v>
      </c>
    </row>
    <row r="95" spans="1:40" x14ac:dyDescent="0.5">
      <c r="A95" s="78"/>
      <c r="B95" s="79"/>
      <c r="C95" s="79"/>
      <c r="D95" s="10"/>
      <c r="E95" s="80"/>
      <c r="F95" s="10"/>
      <c r="G95" s="80"/>
      <c r="H95" s="10"/>
      <c r="I95" s="80"/>
      <c r="J95" s="10"/>
      <c r="K95" s="80"/>
      <c r="L95" s="10"/>
      <c r="M95" s="80"/>
      <c r="N95" s="10"/>
      <c r="O95" s="80"/>
      <c r="P95" s="10"/>
      <c r="Q95" s="80"/>
      <c r="R95" s="10"/>
      <c r="S95" s="80"/>
      <c r="T95" s="10"/>
      <c r="U95" s="80"/>
      <c r="V95" s="10"/>
      <c r="W95" s="80"/>
      <c r="X95" s="10"/>
      <c r="Y95" s="80"/>
      <c r="Z95" s="10"/>
      <c r="AA95" s="80"/>
      <c r="AB95" s="10"/>
      <c r="AC95" s="80"/>
      <c r="AD95" s="10"/>
      <c r="AE95" s="80"/>
      <c r="AF95" s="10"/>
      <c r="AG95" s="80"/>
      <c r="AH95" s="10"/>
      <c r="AI95" s="80"/>
      <c r="AJ95" s="10"/>
      <c r="AK95" s="80"/>
      <c r="AL95" s="79"/>
      <c r="AM95" s="79"/>
      <c r="AN95" s="81"/>
    </row>
    <row r="96" spans="1:40" ht="14.7" thickBot="1" x14ac:dyDescent="0.55000000000000004">
      <c r="B96" s="89" t="s">
        <v>20</v>
      </c>
      <c r="C96" s="90"/>
      <c r="D96" s="17">
        <f t="shared" ref="D96:AN96" si="4">SUM(D4:D94)</f>
        <v>2026601</v>
      </c>
      <c r="E96" s="82">
        <f t="shared" si="4"/>
        <v>1871270</v>
      </c>
      <c r="F96" s="17">
        <f t="shared" si="4"/>
        <v>1943161</v>
      </c>
      <c r="G96" s="82">
        <f t="shared" si="4"/>
        <v>1771993</v>
      </c>
      <c r="H96" s="17">
        <f t="shared" si="4"/>
        <v>1526857</v>
      </c>
      <c r="I96" s="82">
        <f t="shared" si="4"/>
        <v>1459131</v>
      </c>
      <c r="J96" s="17">
        <f t="shared" si="4"/>
        <v>990561</v>
      </c>
      <c r="K96" s="82">
        <f t="shared" si="4"/>
        <v>1045796</v>
      </c>
      <c r="L96" s="17">
        <f t="shared" si="4"/>
        <v>550517</v>
      </c>
      <c r="M96" s="82">
        <f t="shared" si="4"/>
        <v>664155</v>
      </c>
      <c r="N96" s="17">
        <f t="shared" si="4"/>
        <v>455381</v>
      </c>
      <c r="O96" s="82">
        <f t="shared" si="4"/>
        <v>663017</v>
      </c>
      <c r="P96" s="17">
        <f t="shared" si="4"/>
        <v>424219</v>
      </c>
      <c r="Q96" s="82">
        <f t="shared" si="4"/>
        <v>492673</v>
      </c>
      <c r="R96" s="17">
        <f t="shared" si="4"/>
        <v>353887</v>
      </c>
      <c r="S96" s="82">
        <f t="shared" si="4"/>
        <v>416810</v>
      </c>
      <c r="T96" s="17">
        <f t="shared" si="4"/>
        <v>331740</v>
      </c>
      <c r="U96" s="82">
        <f t="shared" si="4"/>
        <v>232316</v>
      </c>
      <c r="V96" s="17">
        <f t="shared" si="4"/>
        <v>180431</v>
      </c>
      <c r="W96" s="82">
        <f t="shared" si="4"/>
        <v>133638</v>
      </c>
      <c r="X96" s="17">
        <f t="shared" si="4"/>
        <v>253510</v>
      </c>
      <c r="Y96" s="82">
        <f t="shared" si="4"/>
        <v>338571</v>
      </c>
      <c r="Z96" s="17">
        <f t="shared" si="4"/>
        <v>117206</v>
      </c>
      <c r="AA96" s="82">
        <f t="shared" si="4"/>
        <v>130392</v>
      </c>
      <c r="AB96" s="17">
        <f t="shared" si="4"/>
        <v>182013</v>
      </c>
      <c r="AC96" s="82">
        <f t="shared" si="4"/>
        <v>157516</v>
      </c>
      <c r="AD96" s="17">
        <f t="shared" si="4"/>
        <v>57005</v>
      </c>
      <c r="AE96" s="82">
        <f t="shared" si="4"/>
        <v>60679</v>
      </c>
      <c r="AF96" s="17">
        <f t="shared" si="4"/>
        <v>90643</v>
      </c>
      <c r="AG96" s="82">
        <f t="shared" si="4"/>
        <v>110018</v>
      </c>
      <c r="AH96" s="17">
        <f t="shared" si="4"/>
        <v>27103</v>
      </c>
      <c r="AI96" s="82">
        <f t="shared" si="4"/>
        <v>29212</v>
      </c>
      <c r="AJ96" s="17">
        <f t="shared" si="4"/>
        <v>84364</v>
      </c>
      <c r="AK96" s="82">
        <f t="shared" si="4"/>
        <v>108464</v>
      </c>
      <c r="AL96" s="25">
        <f t="shared" si="4"/>
        <v>9595199</v>
      </c>
      <c r="AM96" s="25">
        <f t="shared" si="4"/>
        <v>9685651</v>
      </c>
      <c r="AN96" s="26">
        <f t="shared" si="4"/>
        <v>19280850</v>
      </c>
    </row>
    <row r="97" customFormat="1" ht="14.7" thickTop="1" x14ac:dyDescent="0.5"/>
  </sheetData>
  <mergeCells count="1">
    <mergeCell ref="B96:C9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79def493-94c9-4075-af5a-b9b9a2238a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77F649F477AC4187EB58251D419D64" ma:contentTypeVersion="19" ma:contentTypeDescription="Create a new document." ma:contentTypeScope="" ma:versionID="b414616e3a9d7124ee57ae6e4c55ca43">
  <xsd:schema xmlns:xsd="http://www.w3.org/2001/XMLSchema" xmlns:xs="http://www.w3.org/2001/XMLSchema" xmlns:p="http://schemas.microsoft.com/office/2006/metadata/properties" xmlns:ns2="d4bd7185-3ccc-47d5-be69-542fd420c7c8" xmlns:ns3="79def493-94c9-4075-af5a-b9b9a2238a61" xmlns:ns4="985ec44e-1bab-4c0b-9df0-6ba128686fc9" targetNamespace="http://schemas.microsoft.com/office/2006/metadata/properties" ma:root="true" ma:fieldsID="b79eec48aa5641aa054d2ad7723427d2" ns2:_="" ns3:_="" ns4:_="">
    <xsd:import namespace="d4bd7185-3ccc-47d5-be69-542fd420c7c8"/>
    <xsd:import namespace="79def493-94c9-4075-af5a-b9b9a2238a61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d7185-3ccc-47d5-be69-542fd420c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f493-94c9-4075-af5a-b9b9a2238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b13c323-dbb1-44cd-9029-1ae91a812ae6}" ma:internalName="TaxCatchAll" ma:showField="CatchAllData" ma:web="d4bd7185-3ccc-47d5-be69-542fd420c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03F666-E7C8-496F-AD39-7D3F8E85B561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79def493-94c9-4075-af5a-b9b9a2238a61"/>
  </ds:schemaRefs>
</ds:datastoreItem>
</file>

<file path=customXml/itemProps2.xml><?xml version="1.0" encoding="utf-8"?>
<ds:datastoreItem xmlns:ds="http://schemas.openxmlformats.org/officeDocument/2006/customXml" ds:itemID="{E2A1D530-E558-43C3-9D31-3EB68F9E9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3AD515-B1F7-47EC-86FD-DC4C52C58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d7185-3ccc-47d5-be69-542fd420c7c8"/>
    <ds:schemaRef ds:uri="79def493-94c9-4075-af5a-b9b9a2238a61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</vt:lpstr>
      <vt:lpstr>Region</vt:lpstr>
      <vt:lpstr>National</vt:lpstr>
      <vt:lpstr>District_Ext_age_Groups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Hamayoon Majidi</dc:creator>
  <cp:lastModifiedBy>Beryl Nyamgeroh</cp:lastModifiedBy>
  <dcterms:created xsi:type="dcterms:W3CDTF">2024-09-16T17:15:29Z</dcterms:created>
  <dcterms:modified xsi:type="dcterms:W3CDTF">2025-05-08T09:22:11Z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0x0101000877F649F477AC4187EB58251D419D64</vt:lpwstr>
  </property>
  <property fmtid="{D5CDD505-2E9C-101B-9397-08002B2CF9AE}" pid="3" name="MediaServiceImageTags">
    <vt:lpwstr/>
  </property>
</Properties>
</file>